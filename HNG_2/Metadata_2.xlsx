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N\du-an-dung-chung\HNG_2\"/>
    </mc:Choice>
  </mc:AlternateContent>
  <xr:revisionPtr revIDLastSave="0" documentId="13_ncr:1_{1D123C17-7B02-4369-909D-46978CE23BB0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Thông tin lâm sàng" sheetId="3" r:id="rId1"/>
    <sheet name="QC" sheetId="1" r:id="rId2"/>
  </sheets>
  <definedNames>
    <definedName name="_xlnm._FilterDatabase" localSheetId="1" hidden="1">QC!$A$1:$W$136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6" i="1" l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M117" i="1"/>
  <c r="M116" i="1"/>
  <c r="M115" i="1"/>
  <c r="M114" i="1"/>
  <c r="M113" i="1"/>
  <c r="M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M81" i="1"/>
  <c r="M80" i="1"/>
  <c r="M79" i="1"/>
  <c r="M78" i="1"/>
  <c r="L77" i="1"/>
  <c r="M76" i="1"/>
  <c r="M75" i="1"/>
  <c r="M74" i="1"/>
  <c r="L73" i="1"/>
  <c r="L72" i="1"/>
  <c r="L71" i="1"/>
  <c r="L70" i="1"/>
  <c r="L69" i="1"/>
  <c r="L67" i="1"/>
  <c r="L68" i="1"/>
  <c r="L65" i="1"/>
  <c r="L66" i="1"/>
  <c r="L64" i="1"/>
  <c r="L63" i="1"/>
  <c r="L62" i="1"/>
  <c r="L61" i="1"/>
  <c r="L58" i="1"/>
  <c r="L59" i="1"/>
  <c r="L60" i="1"/>
  <c r="L56" i="1"/>
  <c r="L57" i="1"/>
  <c r="L55" i="1"/>
  <c r="L54" i="1"/>
  <c r="L53" i="1"/>
  <c r="L52" i="1"/>
  <c r="L51" i="1"/>
  <c r="L50" i="1"/>
  <c r="L49" i="1"/>
  <c r="L48" i="1"/>
  <c r="L47" i="1"/>
  <c r="L46" i="1"/>
  <c r="L44" i="1"/>
  <c r="L45" i="1"/>
  <c r="L43" i="1"/>
  <c r="L42" i="1"/>
  <c r="L41" i="1"/>
  <c r="M40" i="1"/>
  <c r="M39" i="1"/>
  <c r="M38" i="1"/>
  <c r="M37" i="1"/>
  <c r="M36" i="1"/>
  <c r="L35" i="1"/>
  <c r="L24" i="1"/>
  <c r="L17" i="1"/>
  <c r="L18" i="1"/>
  <c r="L19" i="1"/>
  <c r="L20" i="1"/>
  <c r="L21" i="1"/>
  <c r="L22" i="1"/>
  <c r="L23" i="1"/>
  <c r="L25" i="1"/>
  <c r="L26" i="1"/>
  <c r="L27" i="1"/>
  <c r="L28" i="1"/>
  <c r="L29" i="1"/>
  <c r="L30" i="1"/>
  <c r="L31" i="1"/>
  <c r="L32" i="1"/>
  <c r="L33" i="1"/>
  <c r="L34" i="1"/>
  <c r="L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tc={36EBFC15-0B97-40E5-B7DD-21EF945088B3}</author>
    <author>DAM THI MY HUYEN</author>
  </authors>
  <commentList>
    <comment ref="D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@NGUYEN VAN THIEN CHI @TRAN THI TRANG @VO TRUONG DANG HUY Gửi mọi người file quản lý mẫu ung thư dạ dày bác sĩ Dung, đại học y Hà Nội.</t>
      </text>
    </comment>
    <comment ref="N67" authorId="1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  <comment ref="N68" authorId="1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DAM THI MY HUYEN:
TM100</t>
        </r>
      </text>
    </comment>
  </commentList>
</comments>
</file>

<file path=xl/sharedStrings.xml><?xml version="1.0" encoding="utf-8"?>
<sst xmlns="http://schemas.openxmlformats.org/spreadsheetml/2006/main" count="1499" uniqueCount="596">
  <si>
    <t>https://docs.google.com/spreadsheets/d/1NL7nC96f90uNMKbf-Ps6YFaXbIP6V2Tgs1NXlk_JFB8/edit?gid=0#gid=0</t>
  </si>
  <si>
    <t>STT</t>
  </si>
  <si>
    <t>Labcode</t>
  </si>
  <si>
    <t>Ngày thu mẫu</t>
  </si>
  <si>
    <t>Ngày nhận mẫu</t>
  </si>
  <si>
    <t>Mã nghiên cứu</t>
  </si>
  <si>
    <t>Bệnh viện</t>
  </si>
  <si>
    <t>Họ và tên</t>
  </si>
  <si>
    <t>Giới tính</t>
  </si>
  <si>
    <t>Năm sinh</t>
  </si>
  <si>
    <t>Tuổi</t>
  </si>
  <si>
    <t>Thể tích plasma</t>
  </si>
  <si>
    <t>Giai đoạn trước mổ</t>
  </si>
  <si>
    <t>Giai đoạn sau mổ</t>
  </si>
  <si>
    <t>Chẩn đoán lâm sàng</t>
  </si>
  <si>
    <t>Giải phẩu bệnh</t>
  </si>
  <si>
    <t>Kích thước khối u</t>
  </si>
  <si>
    <t>CEA
(ng/mL)</t>
  </si>
  <si>
    <t>CA72-4
(U/mL)</t>
  </si>
  <si>
    <t>CA19-9
(U/mL)</t>
  </si>
  <si>
    <t>Notes</t>
  </si>
  <si>
    <t>DHYHN</t>
  </si>
  <si>
    <t>NAM</t>
  </si>
  <si>
    <t>25/10/2024</t>
  </si>
  <si>
    <t>28/10/2024</t>
  </si>
  <si>
    <t>NỮ</t>
  </si>
  <si>
    <t>HNGK003</t>
  </si>
  <si>
    <t>P2</t>
  </si>
  <si>
    <t>TƯỞNG THỊ LUÂN</t>
  </si>
  <si>
    <t>T3N0</t>
  </si>
  <si>
    <t>T2N1M0</t>
  </si>
  <si>
    <t>IIA</t>
  </si>
  <si>
    <t>HNGK004</t>
  </si>
  <si>
    <t>30/10/2024</t>
  </si>
  <si>
    <t>P3</t>
  </si>
  <si>
    <t>LÊ THỊ NGÂN</t>
  </si>
  <si>
    <t>K hang môn vị</t>
  </si>
  <si>
    <t>T1N0M0</t>
  </si>
  <si>
    <t>IA</t>
  </si>
  <si>
    <t>HNGK005</t>
  </si>
  <si>
    <t>31/10/2024</t>
  </si>
  <si>
    <t>02/11/2024</t>
  </si>
  <si>
    <t>P4</t>
  </si>
  <si>
    <t>PHẠM QUANG SỸ</t>
  </si>
  <si>
    <t>T2N0M0</t>
  </si>
  <si>
    <t>IB</t>
  </si>
  <si>
    <t>T3N2M0</t>
  </si>
  <si>
    <t>HNGK007</t>
  </si>
  <si>
    <t>04/11/2024</t>
  </si>
  <si>
    <t>05/11/2024</t>
  </si>
  <si>
    <t>P6</t>
  </si>
  <si>
    <t>BÙI VĂN ĐƯỢC</t>
  </si>
  <si>
    <t>T3N0M0</t>
  </si>
  <si>
    <t>có cặn trắng</t>
  </si>
  <si>
    <t>HNGK008</t>
  </si>
  <si>
    <t>07/11/2024</t>
  </si>
  <si>
    <t>P7</t>
  </si>
  <si>
    <t>PHẠM THẾ ANH</t>
  </si>
  <si>
    <t>T1aN0M0</t>
  </si>
  <si>
    <t>HNGK009</t>
  </si>
  <si>
    <t>09/11/2024</t>
  </si>
  <si>
    <t>P8</t>
  </si>
  <si>
    <t>PHẠM TIẾN NĂM</t>
  </si>
  <si>
    <t>K biểu mô biệt hóa vừa</t>
  </si>
  <si>
    <t>HNGK010</t>
  </si>
  <si>
    <t>P9</t>
  </si>
  <si>
    <t>TRẦN THỊ NỤ</t>
  </si>
  <si>
    <t>cT2N1M0</t>
  </si>
  <si>
    <t>HNGK011</t>
  </si>
  <si>
    <t>10/11/2024</t>
  </si>
  <si>
    <t>13/11/2024</t>
  </si>
  <si>
    <t>P10</t>
  </si>
  <si>
    <t>BÙI SỸ VIỆT</t>
  </si>
  <si>
    <t>T1bN0M0</t>
  </si>
  <si>
    <t>HNGK012</t>
  </si>
  <si>
    <t>19/11/2024</t>
  </si>
  <si>
    <t>21/11/2024</t>
  </si>
  <si>
    <t>P11</t>
  </si>
  <si>
    <t>VŨ THỊ PHƯỢNG</t>
  </si>
  <si>
    <t>K hang vị</t>
  </si>
  <si>
    <t>5 mL máu</t>
  </si>
  <si>
    <t>HNGK013</t>
  </si>
  <si>
    <t>20/11/2024</t>
  </si>
  <si>
    <t>22/11/2024</t>
  </si>
  <si>
    <t>P12</t>
  </si>
  <si>
    <t>PHẠM VĂN CẢNH</t>
  </si>
  <si>
    <t>HNGK015</t>
  </si>
  <si>
    <t>13/12/2024</t>
  </si>
  <si>
    <t>P14</t>
  </si>
  <si>
    <t>CÔNG VĂN LẠI</t>
  </si>
  <si>
    <t>Ung thư thân vị TxN1M0</t>
  </si>
  <si>
    <t>T2N3aM0</t>
  </si>
  <si>
    <t>IIIA</t>
  </si>
  <si>
    <t>HNGK016</t>
  </si>
  <si>
    <t>14/12/2024</t>
  </si>
  <si>
    <t>P15</t>
  </si>
  <si>
    <t>HOÀNG VĂN VIỄN</t>
  </si>
  <si>
    <t>K dạ dày hang vị</t>
  </si>
  <si>
    <t>T4aN1M0</t>
  </si>
  <si>
    <t>19/12/2024</t>
  </si>
  <si>
    <t>HNGK018</t>
  </si>
  <si>
    <t>21/12/2024</t>
  </si>
  <si>
    <t>P17</t>
  </si>
  <si>
    <t>KHỔNG THỊ NGUYỆT</t>
  </si>
  <si>
    <t>K dạ dày</t>
  </si>
  <si>
    <t>HNGK019</t>
  </si>
  <si>
    <t>25/12/2024</t>
  </si>
  <si>
    <t>27/12/2024</t>
  </si>
  <si>
    <t>P18</t>
  </si>
  <si>
    <t>PHÙNG THỊ TOAN</t>
  </si>
  <si>
    <t>K dạ dày cT2N0M0</t>
  </si>
  <si>
    <t>02/01/2025</t>
  </si>
  <si>
    <t>HNGK021</t>
  </si>
  <si>
    <t>04/01/2025</t>
  </si>
  <si>
    <t>P20</t>
  </si>
  <si>
    <t>TRẦN VĂN KÝ</t>
  </si>
  <si>
    <t>HNGK022</t>
  </si>
  <si>
    <t>07/01/2025</t>
  </si>
  <si>
    <t>09/01/2025</t>
  </si>
  <si>
    <t>P21</t>
  </si>
  <si>
    <t>TÔ THỊ NHO</t>
  </si>
  <si>
    <t>K BM tuyến</t>
  </si>
  <si>
    <t>T2N2M0</t>
  </si>
  <si>
    <t>IIB</t>
  </si>
  <si>
    <t>06/01/2025</t>
  </si>
  <si>
    <t xml:space="preserve">NỮ </t>
  </si>
  <si>
    <t>cT3N1M0</t>
  </si>
  <si>
    <t>HNGK024</t>
  </si>
  <si>
    <t>P23</t>
  </si>
  <si>
    <t>HOÀNG CÔNG TRỌNG</t>
  </si>
  <si>
    <t>cT1N0M0</t>
  </si>
  <si>
    <t>HNGK025</t>
  </si>
  <si>
    <t>10/01/2025</t>
  </si>
  <si>
    <t>11/01/2025</t>
  </si>
  <si>
    <t>P24</t>
  </si>
  <si>
    <t>NGUYỄN ĐẮC TRUNG</t>
  </si>
  <si>
    <t>HNGK026</t>
  </si>
  <si>
    <t>P25</t>
  </si>
  <si>
    <t>NGUYỄN VĂN HƯNG</t>
  </si>
  <si>
    <t>cT2N0M0</t>
  </si>
  <si>
    <t>pT1bN0M0</t>
  </si>
  <si>
    <t>4 mL máu</t>
  </si>
  <si>
    <t>HNGK027</t>
  </si>
  <si>
    <t>12/01/2025</t>
  </si>
  <si>
    <t>14/01/2025</t>
  </si>
  <si>
    <t>P26</t>
  </si>
  <si>
    <t>LÊ THỊ KHẾ</t>
  </si>
  <si>
    <t>T4N1M0</t>
  </si>
  <si>
    <t>T4aN2M0</t>
  </si>
  <si>
    <t>HNGK028</t>
  </si>
  <si>
    <t>P27</t>
  </si>
  <si>
    <t>NGUYỄN ĐỨC HƯỞNG</t>
  </si>
  <si>
    <t>HNGK029</t>
  </si>
  <si>
    <t>16/01/2025</t>
  </si>
  <si>
    <t>P28</t>
  </si>
  <si>
    <t>NGUYỄN DUY MẠNH</t>
  </si>
  <si>
    <t>TM50</t>
  </si>
  <si>
    <t>HNGK030</t>
  </si>
  <si>
    <t>06/02/2025</t>
  </si>
  <si>
    <t>08/02/2025</t>
  </si>
  <si>
    <t>P29</t>
  </si>
  <si>
    <t>KHUẤT HỮU TUYẾN</t>
  </si>
  <si>
    <t>T3N1M0</t>
  </si>
  <si>
    <t>HNGK031</t>
  </si>
  <si>
    <t>10/02/2025</t>
  </si>
  <si>
    <t>11/02/2025</t>
  </si>
  <si>
    <t>P30</t>
  </si>
  <si>
    <t>VŨ ĐÌNH VƯƠNG</t>
  </si>
  <si>
    <t>HNGK032</t>
  </si>
  <si>
    <t>12/02/2025</t>
  </si>
  <si>
    <t>P31</t>
  </si>
  <si>
    <t>ĐỖ ANH DŨNG</t>
  </si>
  <si>
    <t>K biểu mô tuyến DD</t>
  </si>
  <si>
    <t>HNGK033</t>
  </si>
  <si>
    <t>13/02/2025</t>
  </si>
  <si>
    <t>P32</t>
  </si>
  <si>
    <t>ĐINH THỊ HUỆ</t>
  </si>
  <si>
    <t>HNGK034</t>
  </si>
  <si>
    <t>15/02/2025</t>
  </si>
  <si>
    <t>P33</t>
  </si>
  <si>
    <t>NGUYỄN MINH THÁI</t>
  </si>
  <si>
    <t>K hang vị dạ dày</t>
  </si>
  <si>
    <t>HNGK035</t>
  </si>
  <si>
    <t>07/03/2025</t>
  </si>
  <si>
    <t>08/03/2025</t>
  </si>
  <si>
    <t>P34</t>
  </si>
  <si>
    <t>NGUYỄN MINH THUYẾT</t>
  </si>
  <si>
    <t>pT1N1M0</t>
  </si>
  <si>
    <t>HNGK036</t>
  </si>
  <si>
    <t>13/03/2025</t>
  </si>
  <si>
    <t>14/03/2025</t>
  </si>
  <si>
    <t>P35</t>
  </si>
  <si>
    <t>BV K</t>
  </si>
  <si>
    <t>NGUYỄN THỊ DƯƠNG</t>
  </si>
  <si>
    <t>T4N0M0</t>
  </si>
  <si>
    <t>Thu máu không đúng quy cách</t>
  </si>
  <si>
    <t>15/03/2025</t>
  </si>
  <si>
    <t>18/03/2025</t>
  </si>
  <si>
    <t>19/03/2025</t>
  </si>
  <si>
    <t>HNGK041</t>
  </si>
  <si>
    <t>P40</t>
  </si>
  <si>
    <t>ĐÀM THỊ LAN</t>
  </si>
  <si>
    <t>pT4aN0M0</t>
  </si>
  <si>
    <t>HNGK043</t>
  </si>
  <si>
    <t>20/03/2025</t>
  </si>
  <si>
    <t>P42</t>
  </si>
  <si>
    <t>VŨ HỒNG CẨN</t>
  </si>
  <si>
    <t>pT1aN0M0</t>
  </si>
  <si>
    <t>HNGK045</t>
  </si>
  <si>
    <t>21/03/2025</t>
  </si>
  <si>
    <t>P44</t>
  </si>
  <si>
    <t>NÔNG THỊ THẢY</t>
  </si>
  <si>
    <t>TisN0M0</t>
  </si>
  <si>
    <t>22/03/2025</t>
  </si>
  <si>
    <t>NGUYỄN THỊ HƯƠNG</t>
  </si>
  <si>
    <t>HNGK050</t>
  </si>
  <si>
    <t>P49</t>
  </si>
  <si>
    <t>LÊ HỮU TRỊ</t>
  </si>
  <si>
    <t>24/03/2025</t>
  </si>
  <si>
    <t>HNGK052</t>
  </si>
  <si>
    <t>P51</t>
  </si>
  <si>
    <t>HOÀNG THỊ TÚ</t>
  </si>
  <si>
    <t>pT4aN1M0</t>
  </si>
  <si>
    <t>HNGK053</t>
  </si>
  <si>
    <t>25/03/2025</t>
  </si>
  <si>
    <t>26/03/2025</t>
  </si>
  <si>
    <t>P52</t>
  </si>
  <si>
    <t>LÊ VĂN RÂN</t>
  </si>
  <si>
    <t>pT4aN2M0</t>
  </si>
  <si>
    <t>HNGK054</t>
  </si>
  <si>
    <t>P53</t>
  </si>
  <si>
    <t>NGUYỄN VĂN DƯƠNG</t>
  </si>
  <si>
    <t>HNGK055</t>
  </si>
  <si>
    <t>27/03/2025</t>
  </si>
  <si>
    <t>P55</t>
  </si>
  <si>
    <t>NGUYỄN THỊ SEN</t>
  </si>
  <si>
    <t>HNGK056</t>
  </si>
  <si>
    <t>P56</t>
  </si>
  <si>
    <t>ĐỖ THỊ VINH</t>
  </si>
  <si>
    <t>T1bN2M0</t>
  </si>
  <si>
    <t>HNGK057</t>
  </si>
  <si>
    <t>28/03/2025</t>
  </si>
  <si>
    <t>P54</t>
  </si>
  <si>
    <t>VÌ THỊ PÓM</t>
  </si>
  <si>
    <t>pT4bN0M0</t>
  </si>
  <si>
    <t>HNGK058</t>
  </si>
  <si>
    <t>29/03/2025</t>
  </si>
  <si>
    <t>P57</t>
  </si>
  <si>
    <t>NGÔ THỊ TÂM</t>
  </si>
  <si>
    <t>HNGK059</t>
  </si>
  <si>
    <t>P58</t>
  </si>
  <si>
    <t>ĐÀO VĂN HOÀI</t>
  </si>
  <si>
    <t>HNGK061</t>
  </si>
  <si>
    <t>31/03/2025</t>
  </si>
  <si>
    <t>01/04/2025</t>
  </si>
  <si>
    <t>P60</t>
  </si>
  <si>
    <t>NGUYỄN VĂN SƯỢC</t>
  </si>
  <si>
    <t>T4bN0M0</t>
  </si>
  <si>
    <t>HNGK062</t>
  </si>
  <si>
    <t>02/04/2025</t>
  </si>
  <si>
    <t>P63</t>
  </si>
  <si>
    <t>PHẠM THANH LỰC</t>
  </si>
  <si>
    <t>Hụt plasma, Thu máu không đúng quy cách</t>
  </si>
  <si>
    <t>HNGK063</t>
  </si>
  <si>
    <t>P64</t>
  </si>
  <si>
    <t>PHAN ANH</t>
  </si>
  <si>
    <t>HNGK064</t>
  </si>
  <si>
    <t>03/04/2025</t>
  </si>
  <si>
    <t>P65</t>
  </si>
  <si>
    <t>NGUYỄN THÀNH CHUNG</t>
  </si>
  <si>
    <t>HNGK065</t>
  </si>
  <si>
    <t>P66</t>
  </si>
  <si>
    <t>NGUYỄN VĂN THẬN</t>
  </si>
  <si>
    <t>HNGK067</t>
  </si>
  <si>
    <t>P67</t>
  </si>
  <si>
    <t>TRƯƠNG THỊ TUYẾN</t>
  </si>
  <si>
    <t>HNGK068</t>
  </si>
  <si>
    <t>P68</t>
  </si>
  <si>
    <t>VŨ THỊ THỦY</t>
  </si>
  <si>
    <t>04/04/2025</t>
  </si>
  <si>
    <t>HNGK070</t>
  </si>
  <si>
    <t>P70</t>
  </si>
  <si>
    <t>ĐẶNG DUY THUẬN</t>
  </si>
  <si>
    <t>HNGK071</t>
  </si>
  <si>
    <t>P71</t>
  </si>
  <si>
    <t>NGUYỄN VĂN SÁCH</t>
  </si>
  <si>
    <t>HNGK072</t>
  </si>
  <si>
    <t>05/04/2025</t>
  </si>
  <si>
    <t>P72</t>
  </si>
  <si>
    <t>VŨ THỊ CÀ</t>
  </si>
  <si>
    <t>ZERO</t>
  </si>
  <si>
    <t>HNGK073</t>
  </si>
  <si>
    <t>P73</t>
  </si>
  <si>
    <t>PHẠM THỊ LÚA</t>
  </si>
  <si>
    <t>pT3N0M0</t>
  </si>
  <si>
    <t>HNGK074</t>
  </si>
  <si>
    <t>08/04/2025</t>
  </si>
  <si>
    <t>09/04/2025</t>
  </si>
  <si>
    <t>P74</t>
  </si>
  <si>
    <t>ĐINH THỊ HAM</t>
  </si>
  <si>
    <t>HNGK075</t>
  </si>
  <si>
    <t>10/04/2025</t>
  </si>
  <si>
    <t>P75</t>
  </si>
  <si>
    <t>HỒ ĐĂNG KHOA</t>
  </si>
  <si>
    <t>HNGK076</t>
  </si>
  <si>
    <t>14/04/2025</t>
  </si>
  <si>
    <t>P76</t>
  </si>
  <si>
    <t>CẤN THỊ LOAN</t>
  </si>
  <si>
    <t>4.8</t>
  </si>
  <si>
    <t>HNGK077</t>
  </si>
  <si>
    <t>P77</t>
  </si>
  <si>
    <t>NGUYỄN NGỌC HẢI</t>
  </si>
  <si>
    <t>3.8</t>
  </si>
  <si>
    <t>HNGK078</t>
  </si>
  <si>
    <t>15/04/2025</t>
  </si>
  <si>
    <t>16/04/2025</t>
  </si>
  <si>
    <t>P78</t>
  </si>
  <si>
    <t>NGUYỄN THỊ OANH</t>
  </si>
  <si>
    <t>4.1</t>
  </si>
  <si>
    <t>pT2N0M0</t>
  </si>
  <si>
    <t>HNGK079</t>
  </si>
  <si>
    <t>P79</t>
  </si>
  <si>
    <t>NGUYỄN NGỌC LOAN</t>
  </si>
  <si>
    <t>5.1</t>
  </si>
  <si>
    <t>HNGK083</t>
  </si>
  <si>
    <t>P83</t>
  </si>
  <si>
    <t>HỨA VĂN KÝ</t>
  </si>
  <si>
    <t>17/04/2025</t>
  </si>
  <si>
    <t>HNGK085</t>
  </si>
  <si>
    <t>19/04/2025</t>
  </si>
  <si>
    <t>P85</t>
  </si>
  <si>
    <t>NGUYỄN THỊ DUYÊN</t>
  </si>
  <si>
    <t>HNGK086</t>
  </si>
  <si>
    <t>21/04/2025</t>
  </si>
  <si>
    <t>22/04/2025</t>
  </si>
  <si>
    <t>P86</t>
  </si>
  <si>
    <t>HNGK087</t>
  </si>
  <si>
    <t>P87</t>
  </si>
  <si>
    <t>PHÙ BÍCH LÀN</t>
  </si>
  <si>
    <t>HNGK089</t>
  </si>
  <si>
    <t>P89</t>
  </si>
  <si>
    <t>NGUYỄN THỊ HẠN</t>
  </si>
  <si>
    <t>HNGK092</t>
  </si>
  <si>
    <t>28/04/2025</t>
  </si>
  <si>
    <t>29/04/2025</t>
  </si>
  <si>
    <t>P91</t>
  </si>
  <si>
    <t>LÊ VĂN LUẬN</t>
  </si>
  <si>
    <t>HNGK094</t>
  </si>
  <si>
    <t>P93</t>
  </si>
  <si>
    <t>LÊ THỊ HỢI</t>
  </si>
  <si>
    <t>T1N1M0</t>
  </si>
  <si>
    <t>HNGK095</t>
  </si>
  <si>
    <t>03/05/2025</t>
  </si>
  <si>
    <t>P94</t>
  </si>
  <si>
    <t>PHẠM VĂN DUYÊN</t>
  </si>
  <si>
    <t>2.9</t>
  </si>
  <si>
    <t>HNGK096</t>
  </si>
  <si>
    <t>P95</t>
  </si>
  <si>
    <t>NGUYỄN MẠNH QUÂN</t>
  </si>
  <si>
    <t>3.4</t>
  </si>
  <si>
    <t>09/05/2025</t>
  </si>
  <si>
    <t>HNGK100</t>
  </si>
  <si>
    <t>10/05/2025</t>
  </si>
  <si>
    <t>P97</t>
  </si>
  <si>
    <t>BÙI VĂN PHÚ</t>
  </si>
  <si>
    <t>HNGK101</t>
  </si>
  <si>
    <t>12/05/2025</t>
  </si>
  <si>
    <t>14/05/2025</t>
  </si>
  <si>
    <t>P98</t>
  </si>
  <si>
    <t>BÙI THỊ NHÀN</t>
  </si>
  <si>
    <t>5.2</t>
  </si>
  <si>
    <t>HNGK102</t>
  </si>
  <si>
    <t>15/05/2025</t>
  </si>
  <si>
    <t>P99</t>
  </si>
  <si>
    <t>PHẠM THU HOÀN</t>
  </si>
  <si>
    <t>4.7</t>
  </si>
  <si>
    <t>HNGK104</t>
  </si>
  <si>
    <t>20/05/2025</t>
  </si>
  <si>
    <t>21/05/2025</t>
  </si>
  <si>
    <t>P101</t>
  </si>
  <si>
    <t>NGUYỄN VĂN HỒNG</t>
  </si>
  <si>
    <t>HNGK106</t>
  </si>
  <si>
    <t>22/05/2025</t>
  </si>
  <si>
    <t>P102</t>
  </si>
  <si>
    <t>LÊ VƯƠNG</t>
  </si>
  <si>
    <t>HNGH001</t>
  </si>
  <si>
    <t>06/03/2025</t>
  </si>
  <si>
    <t>C1</t>
  </si>
  <si>
    <t>ĐÀO TRỌNG BẢY</t>
  </si>
  <si>
    <t>HNGH002</t>
  </si>
  <si>
    <t>C3</t>
  </si>
  <si>
    <t>BÙI THỊ LOAN</t>
  </si>
  <si>
    <t>Mẹ bị K gan --&gt; Loại</t>
  </si>
  <si>
    <t>HNGH003</t>
  </si>
  <si>
    <t>C2</t>
  </si>
  <si>
    <t>NGUYỄN NHƯ MINH</t>
  </si>
  <si>
    <t>HNGH004</t>
  </si>
  <si>
    <t>11/03/2025</t>
  </si>
  <si>
    <t>12/03/2025</t>
  </si>
  <si>
    <t>C4</t>
  </si>
  <si>
    <t>ĐOÀN VĂN HUYỀN</t>
  </si>
  <si>
    <t>cần trả kq</t>
  </si>
  <si>
    <t>HNGH005</t>
  </si>
  <si>
    <t>C5</t>
  </si>
  <si>
    <t>LÊ THỊ HẢI</t>
  </si>
  <si>
    <t>HNGH006</t>
  </si>
  <si>
    <t>10/03/2025</t>
  </si>
  <si>
    <t>C6</t>
  </si>
  <si>
    <t>NGUYỄN BÁ HỢI</t>
  </si>
  <si>
    <t>HBsAg (+), tiêu máu 100</t>
  </si>
  <si>
    <t>HNGH007</t>
  </si>
  <si>
    <t>C7</t>
  </si>
  <si>
    <t>NGUYỄN THỊ TUYẾT</t>
  </si>
  <si>
    <t>HNGH008</t>
  </si>
  <si>
    <t>C8</t>
  </si>
  <si>
    <t>TRẦN DANH HƯNG</t>
  </si>
  <si>
    <t>HP(+)</t>
  </si>
  <si>
    <t>HNGH009</t>
  </si>
  <si>
    <t>C9</t>
  </si>
  <si>
    <t>NGUYỄN ĐÌNH THUẬN</t>
  </si>
  <si>
    <t>HNGH011</t>
  </si>
  <si>
    <t>C11</t>
  </si>
  <si>
    <t>HOÀNG VĂN MỪNG</t>
  </si>
  <si>
    <t>HNGH012</t>
  </si>
  <si>
    <t>C12</t>
  </si>
  <si>
    <t>PHẠM DOÃN ĐỨC</t>
  </si>
  <si>
    <t>HNGH013</t>
  </si>
  <si>
    <t>C13</t>
  </si>
  <si>
    <t>ĐINH VĂN LÝ</t>
  </si>
  <si>
    <t>HNGH015</t>
  </si>
  <si>
    <t>C15</t>
  </si>
  <si>
    <t>NGUYỄN THANH NGÂN</t>
  </si>
  <si>
    <t>HNGH016</t>
  </si>
  <si>
    <t>C16</t>
  </si>
  <si>
    <t>NGUYỄN THỊ THU HẰNG</t>
  </si>
  <si>
    <t>HNGH017</t>
  </si>
  <si>
    <t>17/03/2025</t>
  </si>
  <si>
    <t>C17</t>
  </si>
  <si>
    <t>ĐỖ THỊ KIM LƯƠNG</t>
  </si>
  <si>
    <t>HNGH018</t>
  </si>
  <si>
    <t>C18</t>
  </si>
  <si>
    <t>NGUYỄN MAI PHƯƠNG</t>
  </si>
  <si>
    <t>HNGH019</t>
  </si>
  <si>
    <t>C19</t>
  </si>
  <si>
    <t>NGÔ THỊ TIỀN</t>
  </si>
  <si>
    <t>HNGH021</t>
  </si>
  <si>
    <t>C21</t>
  </si>
  <si>
    <t>TRẦN THỊ HIỀN</t>
  </si>
  <si>
    <t>HNGH024</t>
  </si>
  <si>
    <t>C24</t>
  </si>
  <si>
    <t>ĐỖ QUANG CHIẾN</t>
  </si>
  <si>
    <t>CGT</t>
  </si>
  <si>
    <t>HNGH026</t>
  </si>
  <si>
    <t>C26</t>
  </si>
  <si>
    <t>NGUYỄN VĂN SỸ</t>
  </si>
  <si>
    <t>HNGH027</t>
  </si>
  <si>
    <t>C27</t>
  </si>
  <si>
    <t>VŨ XUÂN NAM</t>
  </si>
  <si>
    <t>HNGH028</t>
  </si>
  <si>
    <t>C28</t>
  </si>
  <si>
    <t>NGUYỄN THỊ SOẠN</t>
  </si>
  <si>
    <t>HNGH029</t>
  </si>
  <si>
    <t>C29</t>
  </si>
  <si>
    <t>LÊ THỊ KHÁNH</t>
  </si>
  <si>
    <t>HNGH030</t>
  </si>
  <si>
    <t>C30</t>
  </si>
  <si>
    <t>ĐÀO THỊ LIÊN</t>
  </si>
  <si>
    <t>HNGH032</t>
  </si>
  <si>
    <t>C32</t>
  </si>
  <si>
    <t>HOÀNG ĐỨC VĂN</t>
  </si>
  <si>
    <t>HNGH033</t>
  </si>
  <si>
    <t>C33</t>
  </si>
  <si>
    <t>HOÀNG THỊ THẢO</t>
  </si>
  <si>
    <t>HNGH035</t>
  </si>
  <si>
    <t>C35</t>
  </si>
  <si>
    <t>ĐINH THỊ TĨNH</t>
  </si>
  <si>
    <t>HNGH036</t>
  </si>
  <si>
    <t>C36</t>
  </si>
  <si>
    <t>NGUYỄN CÔNG SANG</t>
  </si>
  <si>
    <t>HNGH037</t>
  </si>
  <si>
    <t>C37</t>
  </si>
  <si>
    <t>LÊ VĂN TRINH</t>
  </si>
  <si>
    <t>HNGH038</t>
  </si>
  <si>
    <t>C38</t>
  </si>
  <si>
    <t>ĐỖ THỊ BÌNH</t>
  </si>
  <si>
    <t>Anh/Chị bị K</t>
  </si>
  <si>
    <t>HNGH039</t>
  </si>
  <si>
    <t>C39</t>
  </si>
  <si>
    <t>NGUYỄN THỊ NHIÊN</t>
  </si>
  <si>
    <t>Mẹ K dạ dày</t>
  </si>
  <si>
    <t>HNGH040</t>
  </si>
  <si>
    <t>C40</t>
  </si>
  <si>
    <t>ĐÀO THỊ HOA</t>
  </si>
  <si>
    <t>HNGH041</t>
  </si>
  <si>
    <t>C41</t>
  </si>
  <si>
    <t>PHẠM THỊ CÚC</t>
  </si>
  <si>
    <t>HNGH042</t>
  </si>
  <si>
    <t>C42</t>
  </si>
  <si>
    <t>NGUYỄN THỊ KIM</t>
  </si>
  <si>
    <t>HNGH043</t>
  </si>
  <si>
    <t>C43</t>
  </si>
  <si>
    <t>NGUYỄN THANH BÌNH</t>
  </si>
  <si>
    <t>HNGH044</t>
  </si>
  <si>
    <t>C44</t>
  </si>
  <si>
    <t>CAO VĂN THÀNH</t>
  </si>
  <si>
    <t>HNGH045</t>
  </si>
  <si>
    <t>C45</t>
  </si>
  <si>
    <t>ĐÔNG VĂN CHUNG</t>
  </si>
  <si>
    <t>HNGH046</t>
  </si>
  <si>
    <t>C46</t>
  </si>
  <si>
    <t>CHU KIM THÚY</t>
  </si>
  <si>
    <t>HNGH047</t>
  </si>
  <si>
    <t>C47</t>
  </si>
  <si>
    <t>NGUYỄN VĂN LẼ</t>
  </si>
  <si>
    <t>HNGH048</t>
  </si>
  <si>
    <t>C48</t>
  </si>
  <si>
    <t>NGUYỄN THỊ UYÊN</t>
  </si>
  <si>
    <t>HNGH049</t>
  </si>
  <si>
    <t>C49</t>
  </si>
  <si>
    <t>NGUYỄN ANH THUÂN</t>
  </si>
  <si>
    <t>HNGH051</t>
  </si>
  <si>
    <t>C51</t>
  </si>
  <si>
    <t>NGUYỄN THỊ LUYẾN</t>
  </si>
  <si>
    <t>HNGH052</t>
  </si>
  <si>
    <t>C52</t>
  </si>
  <si>
    <t>NGUYỄN NGỌC HỒ</t>
  </si>
  <si>
    <t>HNGH053</t>
  </si>
  <si>
    <t>C53</t>
  </si>
  <si>
    <t>ĐINH THỊ XUYÊN</t>
  </si>
  <si>
    <t>HNGH054</t>
  </si>
  <si>
    <t>C54</t>
  </si>
  <si>
    <t>PHẠM ĐÌNH XUẤT</t>
  </si>
  <si>
    <t>HNGH056</t>
  </si>
  <si>
    <t>C56</t>
  </si>
  <si>
    <t>LƯU THỊ THANH</t>
  </si>
  <si>
    <t>HNGH057</t>
  </si>
  <si>
    <t>C57</t>
  </si>
  <si>
    <t>BÙI THỊ CHẮT</t>
  </si>
  <si>
    <t>HNGH058</t>
  </si>
  <si>
    <t>C58</t>
  </si>
  <si>
    <t>NÔNG THỊ HIỆP</t>
  </si>
  <si>
    <t>TM75</t>
  </si>
  <si>
    <t>HNGH059</t>
  </si>
  <si>
    <t>C59</t>
  </si>
  <si>
    <t>NGUYỄN VĂN CƯỜNG</t>
  </si>
  <si>
    <t>HNGH062</t>
  </si>
  <si>
    <t>C60</t>
  </si>
  <si>
    <t>NGUYỄN VĂN THẮNG</t>
  </si>
  <si>
    <t>TM25</t>
  </si>
  <si>
    <t>HNGH064</t>
  </si>
  <si>
    <t>C62</t>
  </si>
  <si>
    <t>NGUYỄN VĂN THƯỜNG</t>
  </si>
  <si>
    <t>HNGH065</t>
  </si>
  <si>
    <t>C63</t>
  </si>
  <si>
    <t>DƯƠNG THỊ LŨY</t>
  </si>
  <si>
    <t>HNGH066</t>
  </si>
  <si>
    <t>C64</t>
  </si>
  <si>
    <t>PHẠM NGỌC TÚ</t>
  </si>
  <si>
    <t>HNGH067</t>
  </si>
  <si>
    <t>C65</t>
  </si>
  <si>
    <t>ĐẶNG THỊ THOAN</t>
  </si>
  <si>
    <t>HNGH068</t>
  </si>
  <si>
    <t>C66</t>
  </si>
  <si>
    <t>VÕ MINH THIỆN</t>
  </si>
  <si>
    <t>HNGH069</t>
  </si>
  <si>
    <t>C67</t>
  </si>
  <si>
    <t>ĐỖ QUANG ÁNH</t>
  </si>
  <si>
    <t>HNGH070</t>
  </si>
  <si>
    <t>C68</t>
  </si>
  <si>
    <t>PHẠM ĐỨC ÂN</t>
  </si>
  <si>
    <t>HNGH071</t>
  </si>
  <si>
    <t>C69</t>
  </si>
  <si>
    <t>PHẠM THỊ THU</t>
  </si>
  <si>
    <t>HNGH072</t>
  </si>
  <si>
    <t>C70</t>
  </si>
  <si>
    <t>NGUYỄN VĂN CHIẾN</t>
  </si>
  <si>
    <t>HNGH073</t>
  </si>
  <si>
    <t>12/04/2025</t>
  </si>
  <si>
    <t>C71</t>
  </si>
  <si>
    <t>TRẦN THỊ VIẾT</t>
  </si>
  <si>
    <t>HNGH074</t>
  </si>
  <si>
    <t>C72</t>
  </si>
  <si>
    <t>HÀ THỊ BÌNH</t>
  </si>
  <si>
    <t>HNGH075</t>
  </si>
  <si>
    <t>C73</t>
  </si>
  <si>
    <t xml:space="preserve">TRẦN THỊ DUYẾN </t>
  </si>
  <si>
    <t>HNGH076</t>
  </si>
  <si>
    <t>23/04/2025</t>
  </si>
  <si>
    <t>C74</t>
  </si>
  <si>
    <t xml:space="preserve">NGUYỄN MINH LẠC </t>
  </si>
  <si>
    <t>4.5</t>
  </si>
  <si>
    <t>Type</t>
  </si>
  <si>
    <t>Gastric</t>
  </si>
  <si>
    <t>Healthy</t>
  </si>
  <si>
    <t>SampleID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</si>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</sst>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3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1"/>
    <xf numFmtId="0" fontId="8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6" xfId="0" quotePrefix="1" applyNumberFormat="1" applyFont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5" xfId="0" quotePrefix="1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3" fillId="0" borderId="2" xfId="0" quotePrefix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quotePrefix="1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7" xfId="0" applyFont="1" applyBorder="1"/>
    <xf numFmtId="0" fontId="7" fillId="0" borderId="16" xfId="0" applyFont="1" applyBorder="1" applyAlignment="1">
      <alignment vertical="top" wrapText="1"/>
    </xf>
    <xf numFmtId="0" fontId="7" fillId="0" borderId="17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2" borderId="2" xfId="0" quotePrefix="1" applyNumberFormat="1" applyFont="1" applyFill="1" applyBorder="1" applyAlignment="1">
      <alignment horizontal="center" vertical="center"/>
    </xf>
    <xf numFmtId="0" fontId="3" fillId="2" borderId="5" xfId="0" quotePrefix="1" applyFont="1" applyFill="1" applyBorder="1" applyAlignment="1">
      <alignment horizontal="center" vertical="center"/>
    </xf>
    <xf numFmtId="14" fontId="3" fillId="2" borderId="6" xfId="0" quotePrefix="1" applyNumberFormat="1" applyFont="1" applyFill="1" applyBorder="1" applyAlignment="1">
      <alignment horizontal="center" vertical="center"/>
    </xf>
    <xf numFmtId="14" fontId="3" fillId="2" borderId="5" xfId="0" quotePrefix="1" applyNumberFormat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2">
    <cellStyle name="Hyperlink" xfId="1" xr:uid="{00000000-0005-0000-0000-000000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O TRUONG DANG HUY" id="{446998B6-14DF-4CB7-A6BE-88E29FC0A414}" userId="huyvo@genesolutions.vn" providerId="PeoplePicker"/>
  <person displayName="NGUYEN VAN THIEN CHI" id="{DB2DCE65-BCDE-4E72-924D-99E6E1C58C03}" userId="chinguyen@genesolutions.vn" providerId="PeoplePicker"/>
  <person displayName="TRAN THI TRANG" id="{25E9C076-BF85-4A62-A8B5-25F4B79A4EC5}" userId="trangtran2@genesolutions.vn" providerId="PeoplePicker"/>
  <person displayName="VO DAC HO" id="{168671B3-224E-4E20-AB47-DD7B20914758}" userId="S::hovo@genesolutions.vn::52f49ffe-ac9c-4553-82c8-1694e7de86d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10-13T15:38:26.09" personId="{168671B3-224E-4E20-AB47-DD7B20914758}" id="{36EBFC15-0B97-40E5-B7DD-21EF945088B3}">
    <text>@NGUYEN VAN THIEN CHI @TRAN THI TRANG @VO TRUONG DANG HUY Gửi mọi người file quản lý mẫu ung thư dạ dày bác sĩ Dung, đại học y Hà Nội.</text>
    <mentions>
      <mention mentionpersonId="{DB2DCE65-BCDE-4E72-924D-99E6E1C58C03}" mentionId="{57F27128-9F0E-4024-A95F-0A440E33632E}" startIndex="0" length="21"/>
      <mention mentionpersonId="{25E9C076-BF85-4A62-A8B5-25F4B79A4EC5}" mentionId="{3A2E10C4-0C16-4BD3-A8B1-76AA49E8BEEE}" startIndex="22" length="15"/>
      <mention mentionpersonId="{446998B6-14DF-4CB7-A6BE-88E29FC0A414}" mentionId="{786A3DBD-C524-4207-AC4F-587895DC7A29}" startIndex="38" length="19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NL7nC96f90uNMKbf-Ps6YFaXbIP6V2Tgs1NXlk_JFB8/edit?gid=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cols>
    <col min="1" max="1" width="103" customWidth="1"/>
  </cols>
  <sheetData>
    <row r="1" spans="1:1" x14ac:dyDescent="0.25">
      <c r="A1" s="1" t="s">
        <v>0</v>
      </c>
    </row>
  </sheetData>
  <hyperlinks>
    <hyperlink ref="A1" r:id="rId1" location="gid=0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6"/>
  <sheetViews>
    <sheetView tabSelected="1" zoomScale="70" zoomScaleNormal="70" workbookViewId="0">
      <pane xSplit="10" ySplit="1" topLeftCell="K2" activePane="bottomRight" state="frozen"/>
      <selection pane="topRight"/>
      <selection pane="bottomLeft"/>
      <selection pane="bottomRight" sqref="A1:L31"/>
    </sheetView>
  </sheetViews>
  <sheetFormatPr defaultColWidth="9.42578125" defaultRowHeight="15" x14ac:dyDescent="0.25"/>
  <cols>
    <col min="1" max="2" width="9.42578125" style="9"/>
    <col min="3" max="3" width="17.85546875" style="9" bestFit="1" customWidth="1"/>
    <col min="4" max="4" width="17.85546875" style="63" bestFit="1" customWidth="1"/>
    <col min="5" max="5" width="17.85546875" style="9" customWidth="1"/>
    <col min="6" max="7" width="12.5703125" style="9" customWidth="1"/>
    <col min="8" max="8" width="12.5703125" style="63" customWidth="1"/>
    <col min="9" max="9" width="12.5703125" style="9" customWidth="1"/>
    <col min="10" max="10" width="22" style="9" customWidth="1"/>
    <col min="11" max="11" width="14.140625" style="9" customWidth="1"/>
    <col min="12" max="12" width="13.28515625" style="9" customWidth="1"/>
    <col min="13" max="13" width="12.140625" style="9" bestFit="1" customWidth="1"/>
    <col min="14" max="14" width="9.42578125" style="9"/>
    <col min="15" max="15" width="29.85546875" style="9" customWidth="1"/>
    <col min="16" max="16" width="32.28515625" style="43" customWidth="1"/>
    <col min="17" max="17" width="19.5703125" style="9" customWidth="1"/>
    <col min="18" max="18" width="17.28515625" style="9" customWidth="1"/>
    <col min="19" max="19" width="19.5703125" style="9" customWidth="1"/>
    <col min="20" max="22" width="9.42578125" style="9"/>
    <col min="23" max="23" width="41.42578125" style="9" customWidth="1"/>
    <col min="24" max="16384" width="9.42578125" style="9"/>
  </cols>
  <sheetData>
    <row r="1" spans="1:23" s="5" customFormat="1" ht="30" x14ac:dyDescent="0.25">
      <c r="A1" s="3" t="s">
        <v>1</v>
      </c>
      <c r="B1" s="2" t="s">
        <v>591</v>
      </c>
      <c r="C1" s="44" t="s">
        <v>594</v>
      </c>
      <c r="D1" s="49" t="s">
        <v>2</v>
      </c>
      <c r="E1" s="2" t="s">
        <v>595</v>
      </c>
      <c r="F1" s="3" t="s">
        <v>3</v>
      </c>
      <c r="G1" s="3" t="s">
        <v>4</v>
      </c>
      <c r="H1" s="49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</row>
    <row r="2" spans="1:23" x14ac:dyDescent="0.25">
      <c r="A2" s="6">
        <v>1</v>
      </c>
      <c r="B2" s="7" t="s">
        <v>592</v>
      </c>
      <c r="C2" s="6" t="s">
        <v>26</v>
      </c>
      <c r="D2" s="50" t="s">
        <v>26</v>
      </c>
      <c r="E2" s="6">
        <v>1</v>
      </c>
      <c r="F2" s="6" t="s">
        <v>23</v>
      </c>
      <c r="G2" s="6" t="s">
        <v>24</v>
      </c>
      <c r="H2" s="50" t="s">
        <v>27</v>
      </c>
      <c r="I2" s="6" t="s">
        <v>21</v>
      </c>
      <c r="J2" s="6" t="s">
        <v>28</v>
      </c>
      <c r="K2" s="6" t="s">
        <v>25</v>
      </c>
      <c r="L2" s="6">
        <f t="shared" ref="L2:L15" si="0">2024-M2</f>
        <v>1952</v>
      </c>
      <c r="M2" s="6">
        <v>72</v>
      </c>
      <c r="N2" s="6">
        <v>4</v>
      </c>
      <c r="O2" s="6" t="s">
        <v>29</v>
      </c>
      <c r="P2" s="8" t="s">
        <v>30</v>
      </c>
      <c r="Q2" s="6"/>
      <c r="R2" s="6" t="s">
        <v>31</v>
      </c>
      <c r="S2" s="6"/>
      <c r="T2" s="6"/>
      <c r="U2" s="6"/>
      <c r="V2" s="6"/>
      <c r="W2" s="6"/>
    </row>
    <row r="3" spans="1:23" x14ac:dyDescent="0.25">
      <c r="A3" s="6">
        <v>2</v>
      </c>
      <c r="B3" s="7" t="s">
        <v>592</v>
      </c>
      <c r="C3" s="6" t="s">
        <v>32</v>
      </c>
      <c r="D3" s="50" t="s">
        <v>32</v>
      </c>
      <c r="E3" s="6">
        <v>1</v>
      </c>
      <c r="F3" s="6" t="s">
        <v>24</v>
      </c>
      <c r="G3" s="6" t="s">
        <v>33</v>
      </c>
      <c r="H3" s="50" t="s">
        <v>34</v>
      </c>
      <c r="I3" s="6" t="s">
        <v>21</v>
      </c>
      <c r="J3" s="6" t="s">
        <v>35</v>
      </c>
      <c r="K3" s="6" t="s">
        <v>25</v>
      </c>
      <c r="L3" s="6">
        <f t="shared" si="0"/>
        <v>1955</v>
      </c>
      <c r="M3" s="6">
        <v>69</v>
      </c>
      <c r="N3" s="6">
        <v>4.5</v>
      </c>
      <c r="O3" s="6" t="s">
        <v>36</v>
      </c>
      <c r="P3" s="8" t="s">
        <v>37</v>
      </c>
      <c r="Q3" s="6"/>
      <c r="R3" s="6" t="s">
        <v>38</v>
      </c>
      <c r="S3" s="6"/>
      <c r="T3" s="6"/>
      <c r="U3" s="6"/>
      <c r="V3" s="6"/>
      <c r="W3" s="6"/>
    </row>
    <row r="4" spans="1:23" x14ac:dyDescent="0.25">
      <c r="A4" s="6">
        <v>3</v>
      </c>
      <c r="B4" s="7" t="s">
        <v>592</v>
      </c>
      <c r="C4" s="6" t="s">
        <v>39</v>
      </c>
      <c r="D4" s="50" t="s">
        <v>39</v>
      </c>
      <c r="E4" s="6">
        <v>1</v>
      </c>
      <c r="F4" s="6" t="s">
        <v>40</v>
      </c>
      <c r="G4" s="10" t="s">
        <v>41</v>
      </c>
      <c r="H4" s="51" t="s">
        <v>42</v>
      </c>
      <c r="I4" s="10" t="s">
        <v>21</v>
      </c>
      <c r="J4" s="6" t="s">
        <v>43</v>
      </c>
      <c r="K4" s="6" t="s">
        <v>22</v>
      </c>
      <c r="L4" s="6">
        <f t="shared" si="0"/>
        <v>1976</v>
      </c>
      <c r="M4" s="6">
        <v>48</v>
      </c>
      <c r="N4" s="6">
        <v>4.7</v>
      </c>
      <c r="O4" s="6" t="s">
        <v>44</v>
      </c>
      <c r="P4" s="8" t="s">
        <v>44</v>
      </c>
      <c r="Q4" s="6"/>
      <c r="R4" s="6" t="s">
        <v>45</v>
      </c>
      <c r="S4" s="6"/>
      <c r="T4" s="6"/>
      <c r="U4" s="6"/>
      <c r="V4" s="6"/>
      <c r="W4" s="6"/>
    </row>
    <row r="5" spans="1:23" x14ac:dyDescent="0.25">
      <c r="A5" s="6">
        <v>4</v>
      </c>
      <c r="B5" s="7" t="s">
        <v>592</v>
      </c>
      <c r="C5" s="6" t="s">
        <v>47</v>
      </c>
      <c r="D5" s="50" t="s">
        <v>47</v>
      </c>
      <c r="E5" s="6">
        <v>1</v>
      </c>
      <c r="F5" s="10" t="s">
        <v>48</v>
      </c>
      <c r="G5" s="10" t="s">
        <v>49</v>
      </c>
      <c r="H5" s="51" t="s">
        <v>50</v>
      </c>
      <c r="I5" s="10" t="s">
        <v>21</v>
      </c>
      <c r="J5" s="6" t="s">
        <v>51</v>
      </c>
      <c r="K5" s="6" t="s">
        <v>22</v>
      </c>
      <c r="L5" s="6">
        <f t="shared" si="0"/>
        <v>1969</v>
      </c>
      <c r="M5" s="6">
        <v>55</v>
      </c>
      <c r="N5" s="6">
        <v>3.9</v>
      </c>
      <c r="O5" s="6" t="s">
        <v>52</v>
      </c>
      <c r="P5" s="11" t="s">
        <v>52</v>
      </c>
      <c r="Q5" s="6"/>
      <c r="R5" s="6" t="s">
        <v>31</v>
      </c>
      <c r="S5" s="6"/>
      <c r="T5" s="6"/>
      <c r="U5" s="6"/>
      <c r="V5" s="6"/>
      <c r="W5" s="6" t="s">
        <v>53</v>
      </c>
    </row>
    <row r="6" spans="1:23" x14ac:dyDescent="0.25">
      <c r="A6" s="6">
        <v>5</v>
      </c>
      <c r="B6" s="7" t="s">
        <v>592</v>
      </c>
      <c r="C6" s="6" t="s">
        <v>54</v>
      </c>
      <c r="D6" s="50" t="s">
        <v>54</v>
      </c>
      <c r="E6" s="6">
        <v>1</v>
      </c>
      <c r="F6" s="10" t="s">
        <v>49</v>
      </c>
      <c r="G6" s="10" t="s">
        <v>55</v>
      </c>
      <c r="H6" s="52" t="s">
        <v>56</v>
      </c>
      <c r="I6" s="12" t="s">
        <v>21</v>
      </c>
      <c r="J6" s="13" t="s">
        <v>57</v>
      </c>
      <c r="K6" s="6" t="s">
        <v>22</v>
      </c>
      <c r="L6" s="6">
        <f t="shared" si="0"/>
        <v>1989</v>
      </c>
      <c r="M6" s="6">
        <v>35</v>
      </c>
      <c r="N6" s="6">
        <v>4.4000000000000004</v>
      </c>
      <c r="O6" s="6" t="s">
        <v>44</v>
      </c>
      <c r="P6" s="8" t="s">
        <v>58</v>
      </c>
      <c r="Q6" s="6"/>
      <c r="R6" s="6" t="s">
        <v>38</v>
      </c>
      <c r="S6" s="6"/>
      <c r="T6" s="6"/>
      <c r="U6" s="6"/>
      <c r="V6" s="6"/>
      <c r="W6" s="6" t="s">
        <v>53</v>
      </c>
    </row>
    <row r="7" spans="1:23" x14ac:dyDescent="0.25">
      <c r="A7" s="6">
        <v>6</v>
      </c>
      <c r="B7" s="7" t="s">
        <v>592</v>
      </c>
      <c r="C7" s="6" t="s">
        <v>59</v>
      </c>
      <c r="D7" s="50" t="s">
        <v>59</v>
      </c>
      <c r="E7" s="6">
        <v>1</v>
      </c>
      <c r="F7" s="10" t="s">
        <v>55</v>
      </c>
      <c r="G7" s="14" t="s">
        <v>60</v>
      </c>
      <c r="H7" s="51" t="s">
        <v>61</v>
      </c>
      <c r="I7" s="10" t="s">
        <v>21</v>
      </c>
      <c r="J7" s="6" t="s">
        <v>62</v>
      </c>
      <c r="K7" s="15" t="s">
        <v>22</v>
      </c>
      <c r="L7" s="6">
        <f t="shared" si="0"/>
        <v>1938</v>
      </c>
      <c r="M7" s="6">
        <v>86</v>
      </c>
      <c r="N7" s="6">
        <v>5.3</v>
      </c>
      <c r="O7" s="6" t="s">
        <v>63</v>
      </c>
      <c r="P7" s="8" t="s">
        <v>44</v>
      </c>
      <c r="Q7" s="6"/>
      <c r="R7" s="6" t="s">
        <v>45</v>
      </c>
      <c r="S7" s="6"/>
      <c r="T7" s="6"/>
      <c r="U7" s="6"/>
      <c r="V7" s="6"/>
      <c r="W7" s="6"/>
    </row>
    <row r="8" spans="1:23" x14ac:dyDescent="0.25">
      <c r="A8" s="6">
        <v>7</v>
      </c>
      <c r="B8" s="7" t="s">
        <v>592</v>
      </c>
      <c r="C8" s="6" t="s">
        <v>64</v>
      </c>
      <c r="D8" s="50" t="s">
        <v>64</v>
      </c>
      <c r="E8" s="6">
        <v>1</v>
      </c>
      <c r="F8" s="10" t="s">
        <v>55</v>
      </c>
      <c r="G8" s="14" t="s">
        <v>60</v>
      </c>
      <c r="H8" s="51" t="s">
        <v>65</v>
      </c>
      <c r="I8" s="10" t="s">
        <v>21</v>
      </c>
      <c r="J8" s="6" t="s">
        <v>66</v>
      </c>
      <c r="K8" s="15" t="s">
        <v>25</v>
      </c>
      <c r="L8" s="6">
        <f t="shared" si="0"/>
        <v>1950</v>
      </c>
      <c r="M8" s="6">
        <v>74</v>
      </c>
      <c r="N8" s="6">
        <v>4.3</v>
      </c>
      <c r="O8" s="6" t="s">
        <v>67</v>
      </c>
      <c r="P8" s="8" t="s">
        <v>58</v>
      </c>
      <c r="Q8" s="6"/>
      <c r="R8" s="6" t="s">
        <v>38</v>
      </c>
      <c r="S8" s="6"/>
      <c r="T8" s="6"/>
      <c r="U8" s="6"/>
      <c r="V8" s="6"/>
      <c r="W8" s="6"/>
    </row>
    <row r="9" spans="1:23" x14ac:dyDescent="0.25">
      <c r="A9" s="6">
        <v>8</v>
      </c>
      <c r="B9" s="7" t="s">
        <v>592</v>
      </c>
      <c r="C9" s="6" t="s">
        <v>68</v>
      </c>
      <c r="D9" s="50" t="s">
        <v>68</v>
      </c>
      <c r="E9" s="6">
        <v>1</v>
      </c>
      <c r="F9" s="10" t="s">
        <v>69</v>
      </c>
      <c r="G9" s="14" t="s">
        <v>70</v>
      </c>
      <c r="H9" s="51" t="s">
        <v>71</v>
      </c>
      <c r="I9" s="10" t="s">
        <v>21</v>
      </c>
      <c r="J9" s="6" t="s">
        <v>72</v>
      </c>
      <c r="K9" s="15" t="s">
        <v>22</v>
      </c>
      <c r="L9" s="6">
        <f t="shared" si="0"/>
        <v>1951</v>
      </c>
      <c r="M9" s="6">
        <v>73</v>
      </c>
      <c r="N9" s="6">
        <v>4.2</v>
      </c>
      <c r="O9" s="6" t="s">
        <v>44</v>
      </c>
      <c r="P9" s="8" t="s">
        <v>73</v>
      </c>
      <c r="Q9" s="6"/>
      <c r="R9" s="6" t="s">
        <v>38</v>
      </c>
      <c r="S9" s="6"/>
      <c r="T9" s="6"/>
      <c r="U9" s="6"/>
      <c r="V9" s="6"/>
      <c r="W9" s="6"/>
    </row>
    <row r="10" spans="1:23" x14ac:dyDescent="0.25">
      <c r="A10" s="6">
        <v>9</v>
      </c>
      <c r="B10" s="7" t="s">
        <v>592</v>
      </c>
      <c r="C10" s="6" t="s">
        <v>74</v>
      </c>
      <c r="D10" s="50" t="s">
        <v>74</v>
      </c>
      <c r="E10" s="6">
        <v>1</v>
      </c>
      <c r="F10" s="10" t="s">
        <v>75</v>
      </c>
      <c r="G10" s="14" t="s">
        <v>76</v>
      </c>
      <c r="H10" s="51" t="s">
        <v>77</v>
      </c>
      <c r="I10" s="10" t="s">
        <v>21</v>
      </c>
      <c r="J10" s="6" t="s">
        <v>78</v>
      </c>
      <c r="K10" s="15" t="s">
        <v>25</v>
      </c>
      <c r="L10" s="6">
        <f t="shared" si="0"/>
        <v>1980</v>
      </c>
      <c r="M10" s="6">
        <v>44</v>
      </c>
      <c r="N10" s="6">
        <v>3.9</v>
      </c>
      <c r="O10" s="6" t="s">
        <v>79</v>
      </c>
      <c r="P10" s="11" t="s">
        <v>73</v>
      </c>
      <c r="Q10" s="6"/>
      <c r="R10" s="6" t="s">
        <v>38</v>
      </c>
      <c r="S10" s="6"/>
      <c r="T10" s="6"/>
      <c r="U10" s="6"/>
      <c r="V10" s="6"/>
      <c r="W10" s="6" t="s">
        <v>80</v>
      </c>
    </row>
    <row r="11" spans="1:23" x14ac:dyDescent="0.25">
      <c r="A11" s="6">
        <v>10</v>
      </c>
      <c r="B11" s="7" t="s">
        <v>592</v>
      </c>
      <c r="C11" s="6" t="s">
        <v>81</v>
      </c>
      <c r="D11" s="50" t="s">
        <v>81</v>
      </c>
      <c r="E11" s="6">
        <v>1</v>
      </c>
      <c r="F11" s="10" t="s">
        <v>82</v>
      </c>
      <c r="G11" s="14" t="s">
        <v>83</v>
      </c>
      <c r="H11" s="51" t="s">
        <v>84</v>
      </c>
      <c r="I11" s="10" t="s">
        <v>21</v>
      </c>
      <c r="J11" s="6" t="s">
        <v>85</v>
      </c>
      <c r="K11" s="15" t="s">
        <v>22</v>
      </c>
      <c r="L11" s="6">
        <f t="shared" si="0"/>
        <v>1964</v>
      </c>
      <c r="M11" s="6">
        <v>60</v>
      </c>
      <c r="N11" s="6">
        <v>4.8</v>
      </c>
      <c r="O11" s="6" t="s">
        <v>79</v>
      </c>
      <c r="P11" s="11" t="s">
        <v>52</v>
      </c>
      <c r="Q11" s="6"/>
      <c r="R11" s="6" t="s">
        <v>31</v>
      </c>
      <c r="S11" s="6"/>
      <c r="T11" s="6"/>
      <c r="U11" s="6"/>
      <c r="V11" s="6"/>
      <c r="W11" s="6"/>
    </row>
    <row r="12" spans="1:23" x14ac:dyDescent="0.25">
      <c r="A12" s="6">
        <v>11</v>
      </c>
      <c r="B12" s="7" t="s">
        <v>592</v>
      </c>
      <c r="C12" s="6" t="s">
        <v>86</v>
      </c>
      <c r="D12" s="50" t="s">
        <v>86</v>
      </c>
      <c r="E12" s="6">
        <v>1</v>
      </c>
      <c r="F12" s="16">
        <v>45638</v>
      </c>
      <c r="G12" s="17" t="s">
        <v>87</v>
      </c>
      <c r="H12" s="53" t="s">
        <v>88</v>
      </c>
      <c r="I12" s="16" t="s">
        <v>21</v>
      </c>
      <c r="J12" s="6" t="s">
        <v>89</v>
      </c>
      <c r="K12" s="15" t="s">
        <v>22</v>
      </c>
      <c r="L12" s="6">
        <f t="shared" si="0"/>
        <v>1947</v>
      </c>
      <c r="M12" s="6">
        <v>77</v>
      </c>
      <c r="N12" s="6">
        <v>4.7</v>
      </c>
      <c r="O12" s="6" t="s">
        <v>90</v>
      </c>
      <c r="P12" s="8" t="s">
        <v>91</v>
      </c>
      <c r="Q12" s="6"/>
      <c r="R12" s="6" t="s">
        <v>92</v>
      </c>
      <c r="S12" s="6"/>
      <c r="T12" s="6"/>
      <c r="U12" s="6"/>
      <c r="V12" s="6"/>
      <c r="W12" s="6"/>
    </row>
    <row r="13" spans="1:23" x14ac:dyDescent="0.25">
      <c r="A13" s="6">
        <v>12</v>
      </c>
      <c r="B13" s="7" t="s">
        <v>592</v>
      </c>
      <c r="C13" s="6" t="s">
        <v>93</v>
      </c>
      <c r="D13" s="50" t="s">
        <v>93</v>
      </c>
      <c r="E13" s="6">
        <v>1</v>
      </c>
      <c r="F13" s="16" t="s">
        <v>87</v>
      </c>
      <c r="G13" s="17" t="s">
        <v>94</v>
      </c>
      <c r="H13" s="53" t="s">
        <v>95</v>
      </c>
      <c r="I13" s="16" t="s">
        <v>21</v>
      </c>
      <c r="J13" s="6" t="s">
        <v>96</v>
      </c>
      <c r="K13" s="15" t="s">
        <v>22</v>
      </c>
      <c r="L13" s="6">
        <f t="shared" si="0"/>
        <v>1950</v>
      </c>
      <c r="M13" s="6">
        <v>74</v>
      </c>
      <c r="N13" s="6">
        <v>4</v>
      </c>
      <c r="O13" s="6" t="s">
        <v>97</v>
      </c>
      <c r="P13" s="8" t="s">
        <v>98</v>
      </c>
      <c r="Q13" s="6"/>
      <c r="R13" s="6" t="s">
        <v>92</v>
      </c>
      <c r="S13" s="6"/>
      <c r="T13" s="6"/>
      <c r="U13" s="6"/>
      <c r="V13" s="6"/>
      <c r="W13" s="6"/>
    </row>
    <row r="14" spans="1:23" x14ac:dyDescent="0.25">
      <c r="A14" s="6">
        <v>13</v>
      </c>
      <c r="B14" s="7" t="s">
        <v>592</v>
      </c>
      <c r="C14" s="6" t="s">
        <v>100</v>
      </c>
      <c r="D14" s="50" t="s">
        <v>100</v>
      </c>
      <c r="E14" s="6">
        <v>1</v>
      </c>
      <c r="F14" s="16" t="s">
        <v>99</v>
      </c>
      <c r="G14" s="14" t="s">
        <v>101</v>
      </c>
      <c r="H14" s="51" t="s">
        <v>102</v>
      </c>
      <c r="I14" s="10" t="s">
        <v>21</v>
      </c>
      <c r="J14" s="6" t="s">
        <v>103</v>
      </c>
      <c r="K14" s="15" t="s">
        <v>25</v>
      </c>
      <c r="L14" s="6">
        <f t="shared" si="0"/>
        <v>1976</v>
      </c>
      <c r="M14" s="6">
        <v>48</v>
      </c>
      <c r="N14" s="6">
        <v>4</v>
      </c>
      <c r="O14" s="6" t="s">
        <v>104</v>
      </c>
      <c r="P14" s="8" t="s">
        <v>73</v>
      </c>
      <c r="Q14" s="6"/>
      <c r="R14" s="6" t="s">
        <v>38</v>
      </c>
      <c r="S14" s="6"/>
      <c r="T14" s="6"/>
      <c r="U14" s="6"/>
      <c r="V14" s="6"/>
      <c r="W14" s="6"/>
    </row>
    <row r="15" spans="1:23" x14ac:dyDescent="0.25">
      <c r="A15" s="6">
        <v>14</v>
      </c>
      <c r="B15" s="7" t="s">
        <v>592</v>
      </c>
      <c r="C15" s="6" t="s">
        <v>105</v>
      </c>
      <c r="D15" s="50" t="s">
        <v>105</v>
      </c>
      <c r="E15" s="6">
        <v>1</v>
      </c>
      <c r="F15" s="10" t="s">
        <v>106</v>
      </c>
      <c r="G15" s="14" t="s">
        <v>107</v>
      </c>
      <c r="H15" s="51" t="s">
        <v>108</v>
      </c>
      <c r="I15" s="10" t="s">
        <v>21</v>
      </c>
      <c r="J15" s="6" t="s">
        <v>109</v>
      </c>
      <c r="K15" s="15" t="s">
        <v>25</v>
      </c>
      <c r="L15" s="6">
        <f t="shared" si="0"/>
        <v>1970</v>
      </c>
      <c r="M15" s="6">
        <v>54</v>
      </c>
      <c r="N15" s="6">
        <v>4.5</v>
      </c>
      <c r="O15" s="6" t="s">
        <v>110</v>
      </c>
      <c r="P15" s="8" t="s">
        <v>30</v>
      </c>
      <c r="Q15" s="6"/>
      <c r="R15" s="6" t="s">
        <v>31</v>
      </c>
      <c r="S15" s="6"/>
      <c r="T15" s="6"/>
      <c r="U15" s="6"/>
      <c r="V15" s="6"/>
      <c r="W15" s="6"/>
    </row>
    <row r="16" spans="1:23" x14ac:dyDescent="0.25">
      <c r="A16" s="6">
        <v>15</v>
      </c>
      <c r="B16" s="7" t="s">
        <v>592</v>
      </c>
      <c r="C16" s="6" t="s">
        <v>112</v>
      </c>
      <c r="D16" s="50" t="s">
        <v>112</v>
      </c>
      <c r="E16" s="6">
        <v>1</v>
      </c>
      <c r="F16" s="14" t="s">
        <v>111</v>
      </c>
      <c r="G16" s="14" t="s">
        <v>113</v>
      </c>
      <c r="H16" s="51" t="s">
        <v>114</v>
      </c>
      <c r="I16" s="10" t="s">
        <v>21</v>
      </c>
      <c r="J16" s="6" t="s">
        <v>115</v>
      </c>
      <c r="K16" s="15" t="s">
        <v>22</v>
      </c>
      <c r="L16" s="15">
        <f>2025-M16</f>
        <v>1965</v>
      </c>
      <c r="M16" s="6">
        <v>60</v>
      </c>
      <c r="N16" s="6">
        <v>4</v>
      </c>
      <c r="O16" s="6" t="s">
        <v>30</v>
      </c>
      <c r="P16" s="8" t="s">
        <v>58</v>
      </c>
      <c r="Q16" s="6"/>
      <c r="R16" s="6" t="s">
        <v>38</v>
      </c>
      <c r="S16" s="6"/>
      <c r="T16" s="6"/>
      <c r="U16" s="6"/>
      <c r="V16" s="6"/>
      <c r="W16" s="6"/>
    </row>
    <row r="17" spans="1:23" x14ac:dyDescent="0.25">
      <c r="A17" s="6">
        <v>16</v>
      </c>
      <c r="B17" s="7" t="s">
        <v>592</v>
      </c>
      <c r="C17" s="6" t="s">
        <v>116</v>
      </c>
      <c r="D17" s="50" t="s">
        <v>116</v>
      </c>
      <c r="E17" s="6">
        <v>1</v>
      </c>
      <c r="F17" s="14" t="s">
        <v>117</v>
      </c>
      <c r="G17" s="14" t="s">
        <v>118</v>
      </c>
      <c r="H17" s="51" t="s">
        <v>119</v>
      </c>
      <c r="I17" s="10" t="s">
        <v>21</v>
      </c>
      <c r="J17" s="6" t="s">
        <v>120</v>
      </c>
      <c r="K17" s="15" t="s">
        <v>25</v>
      </c>
      <c r="L17" s="15">
        <f t="shared" ref="L17:L34" si="1">2025-M17</f>
        <v>1957</v>
      </c>
      <c r="M17" s="6">
        <v>68</v>
      </c>
      <c r="N17" s="6">
        <v>4.5</v>
      </c>
      <c r="O17" s="6" t="s">
        <v>121</v>
      </c>
      <c r="P17" s="8" t="s">
        <v>122</v>
      </c>
      <c r="Q17" s="6"/>
      <c r="R17" s="6" t="s">
        <v>123</v>
      </c>
      <c r="S17" s="6"/>
      <c r="T17" s="6"/>
      <c r="U17" s="6"/>
      <c r="V17" s="6"/>
      <c r="W17" s="6"/>
    </row>
    <row r="18" spans="1:23" x14ac:dyDescent="0.25">
      <c r="A18" s="6">
        <v>17</v>
      </c>
      <c r="B18" s="7" t="s">
        <v>592</v>
      </c>
      <c r="C18" s="6" t="s">
        <v>127</v>
      </c>
      <c r="D18" s="50" t="s">
        <v>127</v>
      </c>
      <c r="E18" s="6">
        <v>1</v>
      </c>
      <c r="F18" s="14" t="s">
        <v>124</v>
      </c>
      <c r="G18" s="14" t="s">
        <v>118</v>
      </c>
      <c r="H18" s="51" t="s">
        <v>128</v>
      </c>
      <c r="I18" s="10" t="s">
        <v>21</v>
      </c>
      <c r="J18" s="6" t="s">
        <v>129</v>
      </c>
      <c r="K18" s="15" t="s">
        <v>22</v>
      </c>
      <c r="L18" s="15">
        <f t="shared" si="1"/>
        <v>1977</v>
      </c>
      <c r="M18" s="6">
        <v>48</v>
      </c>
      <c r="N18" s="6">
        <v>3.3</v>
      </c>
      <c r="O18" s="6" t="s">
        <v>130</v>
      </c>
      <c r="P18" s="8" t="s">
        <v>58</v>
      </c>
      <c r="Q18" s="6"/>
      <c r="R18" s="6" t="s">
        <v>38</v>
      </c>
      <c r="S18" s="6"/>
      <c r="T18" s="6"/>
      <c r="U18" s="6"/>
      <c r="V18" s="6"/>
      <c r="W18" s="6"/>
    </row>
    <row r="19" spans="1:23" x14ac:dyDescent="0.25">
      <c r="A19" s="6">
        <v>18</v>
      </c>
      <c r="B19" s="7" t="s">
        <v>592</v>
      </c>
      <c r="C19" s="6" t="s">
        <v>131</v>
      </c>
      <c r="D19" s="50" t="s">
        <v>131</v>
      </c>
      <c r="E19" s="6">
        <v>1</v>
      </c>
      <c r="F19" s="14" t="s">
        <v>132</v>
      </c>
      <c r="G19" s="14" t="s">
        <v>133</v>
      </c>
      <c r="H19" s="51" t="s">
        <v>134</v>
      </c>
      <c r="I19" s="10" t="s">
        <v>21</v>
      </c>
      <c r="J19" s="6" t="s">
        <v>135</v>
      </c>
      <c r="K19" s="15" t="s">
        <v>22</v>
      </c>
      <c r="L19" s="15">
        <f t="shared" si="1"/>
        <v>1975</v>
      </c>
      <c r="M19" s="6">
        <v>50</v>
      </c>
      <c r="N19" s="6">
        <v>4.2</v>
      </c>
      <c r="O19" s="6" t="s">
        <v>104</v>
      </c>
      <c r="P19" s="8" t="s">
        <v>44</v>
      </c>
      <c r="Q19" s="6"/>
      <c r="R19" s="6" t="s">
        <v>45</v>
      </c>
      <c r="S19" s="6"/>
      <c r="T19" s="6"/>
      <c r="U19" s="6"/>
      <c r="V19" s="6"/>
      <c r="W19" s="6"/>
    </row>
    <row r="20" spans="1:23" x14ac:dyDescent="0.25">
      <c r="A20" s="6">
        <v>19</v>
      </c>
      <c r="B20" s="7" t="s">
        <v>592</v>
      </c>
      <c r="C20" s="6" t="s">
        <v>136</v>
      </c>
      <c r="D20" s="50" t="s">
        <v>136</v>
      </c>
      <c r="E20" s="6">
        <v>1</v>
      </c>
      <c r="F20" s="14" t="s">
        <v>118</v>
      </c>
      <c r="G20" s="14" t="s">
        <v>133</v>
      </c>
      <c r="H20" s="51" t="s">
        <v>137</v>
      </c>
      <c r="I20" s="10" t="s">
        <v>21</v>
      </c>
      <c r="J20" s="6" t="s">
        <v>138</v>
      </c>
      <c r="K20" s="15" t="s">
        <v>22</v>
      </c>
      <c r="L20" s="15">
        <f t="shared" si="1"/>
        <v>1973</v>
      </c>
      <c r="M20" s="6">
        <v>52</v>
      </c>
      <c r="N20" s="6">
        <v>2</v>
      </c>
      <c r="O20" s="6" t="s">
        <v>139</v>
      </c>
      <c r="P20" s="8" t="s">
        <v>140</v>
      </c>
      <c r="Q20" s="6"/>
      <c r="R20" s="6" t="s">
        <v>38</v>
      </c>
      <c r="S20" s="6"/>
      <c r="T20" s="6"/>
      <c r="U20" s="6"/>
      <c r="V20" s="6"/>
      <c r="W20" s="6" t="s">
        <v>141</v>
      </c>
    </row>
    <row r="21" spans="1:23" x14ac:dyDescent="0.25">
      <c r="A21" s="6">
        <v>20</v>
      </c>
      <c r="B21" s="7" t="s">
        <v>592</v>
      </c>
      <c r="C21" s="6" t="s">
        <v>142</v>
      </c>
      <c r="D21" s="50" t="s">
        <v>142</v>
      </c>
      <c r="E21" s="6">
        <v>1</v>
      </c>
      <c r="F21" s="14" t="s">
        <v>143</v>
      </c>
      <c r="G21" s="14" t="s">
        <v>144</v>
      </c>
      <c r="H21" s="51" t="s">
        <v>145</v>
      </c>
      <c r="I21" s="10" t="s">
        <v>21</v>
      </c>
      <c r="J21" s="6" t="s">
        <v>146</v>
      </c>
      <c r="K21" s="15" t="s">
        <v>125</v>
      </c>
      <c r="L21" s="15">
        <f t="shared" si="1"/>
        <v>1957</v>
      </c>
      <c r="M21" s="6">
        <v>68</v>
      </c>
      <c r="N21" s="6">
        <v>4.5999999999999996</v>
      </c>
      <c r="O21" s="6" t="s">
        <v>147</v>
      </c>
      <c r="P21" s="8" t="s">
        <v>148</v>
      </c>
      <c r="Q21" s="6"/>
      <c r="R21" s="6" t="s">
        <v>92</v>
      </c>
      <c r="S21" s="6"/>
      <c r="T21" s="6"/>
      <c r="U21" s="6"/>
      <c r="V21" s="6"/>
      <c r="W21" s="6"/>
    </row>
    <row r="22" spans="1:23" x14ac:dyDescent="0.25">
      <c r="A22" s="6">
        <v>21</v>
      </c>
      <c r="B22" s="7" t="s">
        <v>592</v>
      </c>
      <c r="C22" s="6" t="s">
        <v>149</v>
      </c>
      <c r="D22" s="50" t="s">
        <v>149</v>
      </c>
      <c r="E22" s="6">
        <v>1</v>
      </c>
      <c r="F22" s="14" t="s">
        <v>143</v>
      </c>
      <c r="G22" s="14" t="s">
        <v>144</v>
      </c>
      <c r="H22" s="51" t="s">
        <v>150</v>
      </c>
      <c r="I22" s="10" t="s">
        <v>21</v>
      </c>
      <c r="J22" s="6" t="s">
        <v>151</v>
      </c>
      <c r="K22" s="15" t="s">
        <v>22</v>
      </c>
      <c r="L22" s="15">
        <f t="shared" si="1"/>
        <v>1961</v>
      </c>
      <c r="M22" s="6">
        <v>64</v>
      </c>
      <c r="N22" s="6">
        <v>4</v>
      </c>
      <c r="O22" s="6" t="s">
        <v>44</v>
      </c>
      <c r="P22" s="8" t="s">
        <v>73</v>
      </c>
      <c r="Q22" s="6"/>
      <c r="R22" s="6" t="s">
        <v>38</v>
      </c>
      <c r="S22" s="6"/>
      <c r="T22" s="6"/>
      <c r="U22" s="6"/>
      <c r="V22" s="6"/>
      <c r="W22" s="6"/>
    </row>
    <row r="23" spans="1:23" x14ac:dyDescent="0.25">
      <c r="A23" s="6">
        <v>22</v>
      </c>
      <c r="B23" s="7" t="s">
        <v>592</v>
      </c>
      <c r="C23" s="6" t="s">
        <v>152</v>
      </c>
      <c r="D23" s="50" t="s">
        <v>152</v>
      </c>
      <c r="E23" s="6">
        <v>1</v>
      </c>
      <c r="F23" s="14" t="s">
        <v>144</v>
      </c>
      <c r="G23" s="14" t="s">
        <v>153</v>
      </c>
      <c r="H23" s="51" t="s">
        <v>154</v>
      </c>
      <c r="I23" s="10" t="s">
        <v>21</v>
      </c>
      <c r="J23" s="6" t="s">
        <v>155</v>
      </c>
      <c r="K23" s="15" t="s">
        <v>22</v>
      </c>
      <c r="L23" s="15">
        <f t="shared" si="1"/>
        <v>1980</v>
      </c>
      <c r="M23" s="6">
        <v>45</v>
      </c>
      <c r="N23" s="6">
        <v>3.7</v>
      </c>
      <c r="O23" s="6" t="s">
        <v>44</v>
      </c>
      <c r="P23" s="8" t="s">
        <v>73</v>
      </c>
      <c r="Q23" s="6"/>
      <c r="R23" s="6" t="s">
        <v>38</v>
      </c>
      <c r="S23" s="6"/>
      <c r="T23" s="6"/>
      <c r="U23" s="6"/>
      <c r="V23" s="6"/>
      <c r="W23" s="6" t="s">
        <v>156</v>
      </c>
    </row>
    <row r="24" spans="1:23" x14ac:dyDescent="0.25">
      <c r="A24" s="6">
        <v>23</v>
      </c>
      <c r="B24" s="7" t="s">
        <v>592</v>
      </c>
      <c r="C24" s="6" t="s">
        <v>157</v>
      </c>
      <c r="D24" s="50" t="s">
        <v>157</v>
      </c>
      <c r="E24" s="6">
        <v>1</v>
      </c>
      <c r="F24" s="14" t="s">
        <v>158</v>
      </c>
      <c r="G24" s="14" t="s">
        <v>159</v>
      </c>
      <c r="H24" s="51" t="s">
        <v>160</v>
      </c>
      <c r="I24" s="10" t="s">
        <v>21</v>
      </c>
      <c r="J24" s="6" t="s">
        <v>161</v>
      </c>
      <c r="K24" s="15" t="s">
        <v>22</v>
      </c>
      <c r="L24" s="15">
        <f t="shared" si="1"/>
        <v>1966</v>
      </c>
      <c r="M24" s="6">
        <v>59</v>
      </c>
      <c r="N24" s="6">
        <v>4</v>
      </c>
      <c r="O24" s="6" t="s">
        <v>44</v>
      </c>
      <c r="P24" s="8" t="s">
        <v>162</v>
      </c>
      <c r="Q24" s="6"/>
      <c r="R24" s="6" t="s">
        <v>123</v>
      </c>
      <c r="S24" s="6"/>
      <c r="T24" s="6"/>
      <c r="U24" s="6"/>
      <c r="V24" s="6"/>
      <c r="W24" s="6"/>
    </row>
    <row r="25" spans="1:23" x14ac:dyDescent="0.25">
      <c r="A25" s="6">
        <v>24</v>
      </c>
      <c r="B25" s="7" t="s">
        <v>592</v>
      </c>
      <c r="C25" s="6" t="s">
        <v>163</v>
      </c>
      <c r="D25" s="50" t="s">
        <v>163</v>
      </c>
      <c r="E25" s="6">
        <v>1</v>
      </c>
      <c r="F25" s="14" t="s">
        <v>164</v>
      </c>
      <c r="G25" s="18" t="s">
        <v>165</v>
      </c>
      <c r="H25" s="54" t="s">
        <v>166</v>
      </c>
      <c r="I25" s="19" t="s">
        <v>21</v>
      </c>
      <c r="J25" s="6" t="s">
        <v>167</v>
      </c>
      <c r="K25" s="15" t="s">
        <v>22</v>
      </c>
      <c r="L25" s="15">
        <f t="shared" si="1"/>
        <v>1981</v>
      </c>
      <c r="M25" s="6">
        <v>44</v>
      </c>
      <c r="N25" s="6">
        <v>3.8</v>
      </c>
      <c r="O25" s="6" t="s">
        <v>162</v>
      </c>
      <c r="P25" s="11" t="s">
        <v>52</v>
      </c>
      <c r="Q25" s="6"/>
      <c r="R25" s="6" t="s">
        <v>31</v>
      </c>
      <c r="S25" s="6"/>
      <c r="T25" s="6"/>
      <c r="U25" s="6"/>
      <c r="V25" s="6"/>
      <c r="W25" s="6"/>
    </row>
    <row r="26" spans="1:23" x14ac:dyDescent="0.25">
      <c r="A26" s="6">
        <v>25</v>
      </c>
      <c r="B26" s="7" t="s">
        <v>592</v>
      </c>
      <c r="C26" s="6" t="s">
        <v>168</v>
      </c>
      <c r="D26" s="50" t="s">
        <v>168</v>
      </c>
      <c r="E26" s="6">
        <v>1</v>
      </c>
      <c r="F26" s="14" t="s">
        <v>164</v>
      </c>
      <c r="G26" s="18" t="s">
        <v>169</v>
      </c>
      <c r="H26" s="54" t="s">
        <v>170</v>
      </c>
      <c r="I26" s="19" t="s">
        <v>21</v>
      </c>
      <c r="J26" s="6" t="s">
        <v>171</v>
      </c>
      <c r="K26" s="15" t="s">
        <v>22</v>
      </c>
      <c r="L26" s="15">
        <f t="shared" si="1"/>
        <v>1978</v>
      </c>
      <c r="M26" s="6">
        <v>47</v>
      </c>
      <c r="N26" s="6">
        <v>5.5</v>
      </c>
      <c r="O26" s="6" t="s">
        <v>172</v>
      </c>
      <c r="P26" s="8" t="s">
        <v>46</v>
      </c>
      <c r="Q26" s="6"/>
      <c r="R26" s="6" t="s">
        <v>92</v>
      </c>
      <c r="S26" s="6"/>
      <c r="T26" s="6"/>
      <c r="U26" s="6"/>
      <c r="V26" s="6"/>
      <c r="W26" s="6"/>
    </row>
    <row r="27" spans="1:23" x14ac:dyDescent="0.25">
      <c r="A27" s="6">
        <v>26</v>
      </c>
      <c r="B27" s="7" t="s">
        <v>592</v>
      </c>
      <c r="C27" s="6" t="s">
        <v>173</v>
      </c>
      <c r="D27" s="50" t="s">
        <v>173</v>
      </c>
      <c r="E27" s="6">
        <v>1</v>
      </c>
      <c r="F27" s="14" t="s">
        <v>165</v>
      </c>
      <c r="G27" s="18" t="s">
        <v>174</v>
      </c>
      <c r="H27" s="54" t="s">
        <v>175</v>
      </c>
      <c r="I27" s="19" t="s">
        <v>21</v>
      </c>
      <c r="J27" s="6" t="s">
        <v>176</v>
      </c>
      <c r="K27" s="15" t="s">
        <v>125</v>
      </c>
      <c r="L27" s="15">
        <f t="shared" si="1"/>
        <v>1963</v>
      </c>
      <c r="M27" s="6">
        <v>62</v>
      </c>
      <c r="N27" s="6">
        <v>4.8</v>
      </c>
      <c r="O27" s="6" t="s">
        <v>126</v>
      </c>
      <c r="P27" s="8" t="s">
        <v>30</v>
      </c>
      <c r="Q27" s="6"/>
      <c r="R27" s="6" t="s">
        <v>31</v>
      </c>
      <c r="S27" s="6"/>
      <c r="T27" s="6"/>
      <c r="U27" s="6"/>
      <c r="V27" s="6"/>
      <c r="W27" s="6"/>
    </row>
    <row r="28" spans="1:23" x14ac:dyDescent="0.25">
      <c r="A28" s="6">
        <v>27</v>
      </c>
      <c r="B28" s="7" t="s">
        <v>592</v>
      </c>
      <c r="C28" s="6" t="s">
        <v>177</v>
      </c>
      <c r="D28" s="50" t="s">
        <v>177</v>
      </c>
      <c r="E28" s="6">
        <v>1</v>
      </c>
      <c r="F28" s="14" t="s">
        <v>174</v>
      </c>
      <c r="G28" s="20" t="s">
        <v>178</v>
      </c>
      <c r="H28" s="50" t="s">
        <v>179</v>
      </c>
      <c r="I28" s="6" t="s">
        <v>21</v>
      </c>
      <c r="J28" s="6" t="s">
        <v>180</v>
      </c>
      <c r="K28" s="15" t="s">
        <v>22</v>
      </c>
      <c r="L28" s="15">
        <f t="shared" si="1"/>
        <v>1973</v>
      </c>
      <c r="M28" s="6">
        <v>52</v>
      </c>
      <c r="N28" s="6">
        <v>4</v>
      </c>
      <c r="O28" s="6" t="s">
        <v>181</v>
      </c>
      <c r="P28" s="8" t="s">
        <v>30</v>
      </c>
      <c r="Q28" s="6"/>
      <c r="R28" s="6" t="s">
        <v>31</v>
      </c>
      <c r="S28" s="6"/>
      <c r="T28" s="6"/>
      <c r="U28" s="6"/>
      <c r="V28" s="6"/>
      <c r="W28" s="6"/>
    </row>
    <row r="29" spans="1:23" x14ac:dyDescent="0.25">
      <c r="A29" s="6">
        <v>28</v>
      </c>
      <c r="B29" s="7" t="s">
        <v>592</v>
      </c>
      <c r="C29" s="13" t="s">
        <v>182</v>
      </c>
      <c r="D29" s="55" t="s">
        <v>182</v>
      </c>
      <c r="E29" s="6">
        <v>1</v>
      </c>
      <c r="F29" s="21" t="s">
        <v>183</v>
      </c>
      <c r="G29" s="18" t="s">
        <v>184</v>
      </c>
      <c r="H29" s="54" t="s">
        <v>185</v>
      </c>
      <c r="I29" s="19" t="s">
        <v>21</v>
      </c>
      <c r="J29" s="6" t="s">
        <v>186</v>
      </c>
      <c r="K29" s="15" t="s">
        <v>22</v>
      </c>
      <c r="L29" s="22">
        <f t="shared" si="1"/>
        <v>1975</v>
      </c>
      <c r="M29" s="13">
        <v>50</v>
      </c>
      <c r="N29" s="13">
        <v>4.5</v>
      </c>
      <c r="O29" s="13" t="s">
        <v>104</v>
      </c>
      <c r="P29" s="23" t="s">
        <v>187</v>
      </c>
      <c r="Q29" s="13"/>
      <c r="R29" s="13" t="s">
        <v>45</v>
      </c>
      <c r="S29" s="13"/>
      <c r="T29" s="13"/>
      <c r="U29" s="13"/>
      <c r="V29" s="13"/>
      <c r="W29" s="13"/>
    </row>
    <row r="30" spans="1:23" x14ac:dyDescent="0.25">
      <c r="A30" s="6">
        <v>29</v>
      </c>
      <c r="B30" s="7" t="s">
        <v>592</v>
      </c>
      <c r="C30" s="6" t="s">
        <v>188</v>
      </c>
      <c r="D30" s="50" t="s">
        <v>188</v>
      </c>
      <c r="E30" s="6">
        <v>1</v>
      </c>
      <c r="F30" s="18" t="s">
        <v>189</v>
      </c>
      <c r="G30" s="18" t="s">
        <v>190</v>
      </c>
      <c r="H30" s="54" t="s">
        <v>191</v>
      </c>
      <c r="I30" s="19" t="s">
        <v>192</v>
      </c>
      <c r="J30" s="6" t="s">
        <v>193</v>
      </c>
      <c r="K30" s="15" t="s">
        <v>125</v>
      </c>
      <c r="L30" s="15">
        <f t="shared" si="1"/>
        <v>1993</v>
      </c>
      <c r="M30" s="6">
        <v>32</v>
      </c>
      <c r="N30" s="6">
        <v>5.7</v>
      </c>
      <c r="O30" s="6" t="s">
        <v>52</v>
      </c>
      <c r="P30" s="23" t="s">
        <v>194</v>
      </c>
      <c r="Q30" s="13"/>
      <c r="R30" s="13" t="s">
        <v>123</v>
      </c>
      <c r="S30" s="13"/>
      <c r="T30" s="6"/>
      <c r="U30" s="6"/>
      <c r="V30" s="6"/>
      <c r="W30" s="6" t="s">
        <v>195</v>
      </c>
    </row>
    <row r="31" spans="1:23" x14ac:dyDescent="0.25">
      <c r="A31" s="6">
        <v>30</v>
      </c>
      <c r="B31" s="7" t="s">
        <v>592</v>
      </c>
      <c r="C31" s="6" t="s">
        <v>199</v>
      </c>
      <c r="D31" s="50" t="s">
        <v>199</v>
      </c>
      <c r="E31" s="6">
        <v>1</v>
      </c>
      <c r="F31" s="19" t="s">
        <v>197</v>
      </c>
      <c r="G31" s="18" t="s">
        <v>198</v>
      </c>
      <c r="H31" s="54" t="s">
        <v>200</v>
      </c>
      <c r="I31" s="19" t="s">
        <v>192</v>
      </c>
      <c r="J31" s="6" t="s">
        <v>201</v>
      </c>
      <c r="K31" s="15" t="s">
        <v>125</v>
      </c>
      <c r="L31" s="6">
        <f t="shared" si="1"/>
        <v>1965</v>
      </c>
      <c r="M31" s="6">
        <v>60</v>
      </c>
      <c r="N31" s="6">
        <v>4.7</v>
      </c>
      <c r="O31" s="20"/>
      <c r="P31" s="8" t="s">
        <v>202</v>
      </c>
      <c r="Q31" s="6"/>
      <c r="R31" s="6" t="s">
        <v>123</v>
      </c>
      <c r="S31" s="6"/>
      <c r="T31" s="15"/>
      <c r="U31" s="6"/>
      <c r="V31" s="6"/>
      <c r="W31" s="6" t="s">
        <v>195</v>
      </c>
    </row>
    <row r="32" spans="1:23" x14ac:dyDescent="0.25">
      <c r="A32" s="6">
        <v>31</v>
      </c>
      <c r="B32" s="7" t="s">
        <v>592</v>
      </c>
      <c r="C32" s="24" t="s">
        <v>203</v>
      </c>
      <c r="D32" s="64" t="s">
        <v>203</v>
      </c>
      <c r="E32" s="6">
        <v>1</v>
      </c>
      <c r="F32" s="25" t="s">
        <v>198</v>
      </c>
      <c r="G32" s="21" t="s">
        <v>204</v>
      </c>
      <c r="H32" s="54" t="s">
        <v>205</v>
      </c>
      <c r="I32" s="19" t="s">
        <v>192</v>
      </c>
      <c r="J32" s="6" t="s">
        <v>206</v>
      </c>
      <c r="K32" s="15" t="s">
        <v>22</v>
      </c>
      <c r="L32" s="24">
        <f t="shared" si="1"/>
        <v>1952</v>
      </c>
      <c r="M32" s="24">
        <v>73</v>
      </c>
      <c r="N32" s="24">
        <v>5</v>
      </c>
      <c r="O32" s="26"/>
      <c r="P32" s="8" t="s">
        <v>207</v>
      </c>
      <c r="Q32" s="6"/>
      <c r="R32" s="6" t="s">
        <v>38</v>
      </c>
      <c r="S32" s="6"/>
      <c r="T32" s="27"/>
      <c r="U32" s="24"/>
      <c r="V32" s="24"/>
      <c r="W32" s="6" t="s">
        <v>195</v>
      </c>
    </row>
    <row r="33" spans="1:23" x14ac:dyDescent="0.25">
      <c r="A33" s="6">
        <v>32</v>
      </c>
      <c r="B33" s="7" t="s">
        <v>592</v>
      </c>
      <c r="C33" s="6" t="s">
        <v>208</v>
      </c>
      <c r="D33" s="50" t="s">
        <v>208</v>
      </c>
      <c r="E33" s="6">
        <v>1</v>
      </c>
      <c r="F33" s="19" t="s">
        <v>204</v>
      </c>
      <c r="G33" s="18" t="s">
        <v>209</v>
      </c>
      <c r="H33" s="54" t="s">
        <v>210</v>
      </c>
      <c r="I33" s="19" t="s">
        <v>192</v>
      </c>
      <c r="J33" s="6" t="s">
        <v>211</v>
      </c>
      <c r="K33" s="15" t="s">
        <v>22</v>
      </c>
      <c r="L33" s="6">
        <f t="shared" si="1"/>
        <v>1967</v>
      </c>
      <c r="M33" s="6">
        <v>58</v>
      </c>
      <c r="N33" s="6">
        <v>5.9</v>
      </c>
      <c r="O33" s="20" t="s">
        <v>147</v>
      </c>
      <c r="P33" s="8" t="s">
        <v>202</v>
      </c>
      <c r="Q33" s="6"/>
      <c r="R33" s="6" t="s">
        <v>123</v>
      </c>
      <c r="S33" s="6"/>
      <c r="T33" s="15"/>
      <c r="U33" s="6"/>
      <c r="V33" s="6"/>
      <c r="W33" s="6" t="s">
        <v>195</v>
      </c>
    </row>
    <row r="34" spans="1:23" x14ac:dyDescent="0.25">
      <c r="A34" s="6">
        <v>33</v>
      </c>
      <c r="B34" s="7" t="s">
        <v>592</v>
      </c>
      <c r="C34" s="6" t="s">
        <v>215</v>
      </c>
      <c r="D34" s="50" t="s">
        <v>215</v>
      </c>
      <c r="E34" s="6">
        <v>1</v>
      </c>
      <c r="F34" s="19" t="s">
        <v>209</v>
      </c>
      <c r="G34" s="18" t="s">
        <v>213</v>
      </c>
      <c r="H34" s="54" t="s">
        <v>216</v>
      </c>
      <c r="I34" s="19" t="s">
        <v>21</v>
      </c>
      <c r="J34" s="6" t="s">
        <v>217</v>
      </c>
      <c r="K34" s="15" t="s">
        <v>22</v>
      </c>
      <c r="L34" s="6">
        <f t="shared" si="1"/>
        <v>1962</v>
      </c>
      <c r="M34" s="15">
        <v>63</v>
      </c>
      <c r="N34" s="6">
        <v>4</v>
      </c>
      <c r="O34" s="20" t="s">
        <v>67</v>
      </c>
      <c r="P34" s="8" t="s">
        <v>140</v>
      </c>
      <c r="Q34" s="6"/>
      <c r="R34" s="6" t="s">
        <v>38</v>
      </c>
      <c r="S34" s="6"/>
      <c r="T34" s="15"/>
      <c r="U34" s="6"/>
      <c r="V34" s="6"/>
      <c r="W34" s="6"/>
    </row>
    <row r="35" spans="1:23" x14ac:dyDescent="0.25">
      <c r="A35" s="6">
        <v>34</v>
      </c>
      <c r="B35" s="7" t="s">
        <v>592</v>
      </c>
      <c r="C35" s="6" t="s">
        <v>219</v>
      </c>
      <c r="D35" s="50" t="s">
        <v>219</v>
      </c>
      <c r="E35" s="6">
        <v>1</v>
      </c>
      <c r="F35" s="19" t="s">
        <v>218</v>
      </c>
      <c r="G35" s="20"/>
      <c r="H35" s="50" t="s">
        <v>220</v>
      </c>
      <c r="I35" s="6" t="s">
        <v>192</v>
      </c>
      <c r="J35" s="6" t="s">
        <v>221</v>
      </c>
      <c r="K35" s="15" t="s">
        <v>125</v>
      </c>
      <c r="L35" s="6">
        <f>2025-M35</f>
        <v>1952</v>
      </c>
      <c r="M35" s="15">
        <v>73</v>
      </c>
      <c r="N35" s="6">
        <v>5</v>
      </c>
      <c r="O35" s="20" t="s">
        <v>162</v>
      </c>
      <c r="P35" s="8" t="s">
        <v>222</v>
      </c>
      <c r="Q35" s="6"/>
      <c r="R35" s="6" t="s">
        <v>92</v>
      </c>
      <c r="S35" s="6"/>
      <c r="T35" s="15"/>
      <c r="U35" s="6"/>
      <c r="V35" s="6"/>
      <c r="W35" s="6" t="s">
        <v>195</v>
      </c>
    </row>
    <row r="36" spans="1:23" x14ac:dyDescent="0.25">
      <c r="A36" s="6">
        <v>35</v>
      </c>
      <c r="B36" s="7" t="s">
        <v>592</v>
      </c>
      <c r="C36" s="6" t="s">
        <v>223</v>
      </c>
      <c r="D36" s="50" t="s">
        <v>223</v>
      </c>
      <c r="E36" s="6">
        <v>1</v>
      </c>
      <c r="F36" s="19" t="s">
        <v>224</v>
      </c>
      <c r="G36" s="14" t="s">
        <v>225</v>
      </c>
      <c r="H36" s="51" t="s">
        <v>226</v>
      </c>
      <c r="I36" s="10" t="s">
        <v>192</v>
      </c>
      <c r="J36" s="6" t="s">
        <v>227</v>
      </c>
      <c r="K36" s="15" t="s">
        <v>22</v>
      </c>
      <c r="L36" s="6">
        <v>1956</v>
      </c>
      <c r="M36" s="15">
        <f>2025-L36</f>
        <v>69</v>
      </c>
      <c r="N36" s="6">
        <v>3.7</v>
      </c>
      <c r="O36" s="20" t="s">
        <v>162</v>
      </c>
      <c r="P36" s="8" t="s">
        <v>228</v>
      </c>
      <c r="Q36" s="6"/>
      <c r="R36" s="6" t="s">
        <v>92</v>
      </c>
      <c r="S36" s="6"/>
      <c r="T36" s="15"/>
      <c r="U36" s="6"/>
      <c r="V36" s="6"/>
      <c r="W36" s="6" t="s">
        <v>195</v>
      </c>
    </row>
    <row r="37" spans="1:23" x14ac:dyDescent="0.25">
      <c r="A37" s="6">
        <v>36</v>
      </c>
      <c r="B37" s="7" t="s">
        <v>592</v>
      </c>
      <c r="C37" s="6" t="s">
        <v>229</v>
      </c>
      <c r="D37" s="50" t="s">
        <v>229</v>
      </c>
      <c r="E37" s="6">
        <v>1</v>
      </c>
      <c r="F37" s="19" t="s">
        <v>224</v>
      </c>
      <c r="G37" s="14" t="s">
        <v>225</v>
      </c>
      <c r="H37" s="51" t="s">
        <v>230</v>
      </c>
      <c r="I37" s="10" t="s">
        <v>192</v>
      </c>
      <c r="J37" s="6" t="s">
        <v>231</v>
      </c>
      <c r="K37" s="15" t="s">
        <v>22</v>
      </c>
      <c r="L37" s="6">
        <v>1956</v>
      </c>
      <c r="M37" s="15">
        <f>2025-L37</f>
        <v>69</v>
      </c>
      <c r="N37" s="6">
        <v>5</v>
      </c>
      <c r="O37" s="20" t="s">
        <v>162</v>
      </c>
      <c r="P37" s="8" t="s">
        <v>222</v>
      </c>
      <c r="Q37" s="6"/>
      <c r="R37" s="6" t="s">
        <v>92</v>
      </c>
      <c r="S37" s="6"/>
      <c r="T37" s="15"/>
      <c r="U37" s="6"/>
      <c r="V37" s="6"/>
      <c r="W37" s="6" t="s">
        <v>195</v>
      </c>
    </row>
    <row r="38" spans="1:23" x14ac:dyDescent="0.25">
      <c r="A38" s="6">
        <v>37</v>
      </c>
      <c r="B38" s="7" t="s">
        <v>592</v>
      </c>
      <c r="C38" s="6" t="s">
        <v>232</v>
      </c>
      <c r="D38" s="50" t="s">
        <v>232</v>
      </c>
      <c r="E38" s="6">
        <v>1</v>
      </c>
      <c r="F38" s="19" t="s">
        <v>225</v>
      </c>
      <c r="G38" s="18" t="s">
        <v>233</v>
      </c>
      <c r="H38" s="54" t="s">
        <v>234</v>
      </c>
      <c r="I38" s="19" t="s">
        <v>192</v>
      </c>
      <c r="J38" s="6" t="s">
        <v>235</v>
      </c>
      <c r="K38" s="15" t="s">
        <v>125</v>
      </c>
      <c r="L38" s="6">
        <v>1954</v>
      </c>
      <c r="M38" s="15">
        <f>2025-L38</f>
        <v>71</v>
      </c>
      <c r="N38" s="6">
        <v>5.5</v>
      </c>
      <c r="O38" s="20" t="s">
        <v>162</v>
      </c>
      <c r="P38" s="8" t="s">
        <v>44</v>
      </c>
      <c r="Q38" s="6"/>
      <c r="R38" s="6" t="s">
        <v>45</v>
      </c>
      <c r="S38" s="6"/>
      <c r="T38" s="15"/>
      <c r="U38" s="6"/>
      <c r="V38" s="6"/>
      <c r="W38" s="6" t="s">
        <v>195</v>
      </c>
    </row>
    <row r="39" spans="1:23" x14ac:dyDescent="0.25">
      <c r="A39" s="6">
        <v>38</v>
      </c>
      <c r="B39" s="7" t="s">
        <v>592</v>
      </c>
      <c r="C39" s="6" t="s">
        <v>236</v>
      </c>
      <c r="D39" s="50" t="s">
        <v>236</v>
      </c>
      <c r="E39" s="6">
        <v>1</v>
      </c>
      <c r="F39" s="19" t="s">
        <v>225</v>
      </c>
      <c r="G39" s="18" t="s">
        <v>233</v>
      </c>
      <c r="H39" s="54" t="s">
        <v>237</v>
      </c>
      <c r="I39" s="19" t="s">
        <v>21</v>
      </c>
      <c r="J39" s="6" t="s">
        <v>238</v>
      </c>
      <c r="K39" s="15" t="s">
        <v>125</v>
      </c>
      <c r="L39" s="6">
        <v>1954</v>
      </c>
      <c r="M39" s="15">
        <f>2025-L39</f>
        <v>71</v>
      </c>
      <c r="N39" s="6">
        <v>4.5</v>
      </c>
      <c r="O39" s="20" t="s">
        <v>67</v>
      </c>
      <c r="P39" s="8" t="s">
        <v>239</v>
      </c>
      <c r="Q39" s="6"/>
      <c r="R39" s="6" t="s">
        <v>31</v>
      </c>
      <c r="S39" s="6"/>
      <c r="T39" s="15"/>
      <c r="U39" s="6"/>
      <c r="V39" s="6"/>
      <c r="W39" s="6"/>
    </row>
    <row r="40" spans="1:23" x14ac:dyDescent="0.25">
      <c r="A40" s="6">
        <v>39</v>
      </c>
      <c r="B40" s="7" t="s">
        <v>592</v>
      </c>
      <c r="C40" s="6" t="s">
        <v>240</v>
      </c>
      <c r="D40" s="50" t="s">
        <v>240</v>
      </c>
      <c r="E40" s="6">
        <v>1</v>
      </c>
      <c r="F40" s="19" t="s">
        <v>233</v>
      </c>
      <c r="G40" s="18" t="s">
        <v>241</v>
      </c>
      <c r="H40" s="54" t="s">
        <v>242</v>
      </c>
      <c r="I40" s="19" t="s">
        <v>192</v>
      </c>
      <c r="J40" s="6" t="s">
        <v>243</v>
      </c>
      <c r="K40" s="15" t="s">
        <v>125</v>
      </c>
      <c r="L40" s="6">
        <v>1970</v>
      </c>
      <c r="M40" s="22">
        <f>2025-L40</f>
        <v>55</v>
      </c>
      <c r="N40" s="13">
        <v>5</v>
      </c>
      <c r="O40" s="28" t="s">
        <v>162</v>
      </c>
      <c r="P40" s="8" t="s">
        <v>244</v>
      </c>
      <c r="Q40" s="6"/>
      <c r="R40" s="6" t="s">
        <v>92</v>
      </c>
      <c r="S40" s="6"/>
      <c r="T40" s="22"/>
      <c r="U40" s="13"/>
      <c r="V40" s="13"/>
      <c r="W40" s="6" t="s">
        <v>195</v>
      </c>
    </row>
    <row r="41" spans="1:23" x14ac:dyDescent="0.25">
      <c r="A41" s="6">
        <v>40</v>
      </c>
      <c r="B41" s="7" t="s">
        <v>592</v>
      </c>
      <c r="C41" s="6" t="s">
        <v>245</v>
      </c>
      <c r="D41" s="50" t="s">
        <v>245</v>
      </c>
      <c r="E41" s="6">
        <v>1</v>
      </c>
      <c r="F41" s="19" t="s">
        <v>241</v>
      </c>
      <c r="G41" s="21" t="s">
        <v>246</v>
      </c>
      <c r="H41" s="54" t="s">
        <v>247</v>
      </c>
      <c r="I41" s="19" t="s">
        <v>192</v>
      </c>
      <c r="J41" s="6" t="s">
        <v>248</v>
      </c>
      <c r="K41" s="22" t="s">
        <v>125</v>
      </c>
      <c r="L41" s="13">
        <f>2025-M41</f>
        <v>1968</v>
      </c>
      <c r="M41" s="22">
        <v>57</v>
      </c>
      <c r="N41" s="13">
        <v>5</v>
      </c>
      <c r="O41" s="28" t="s">
        <v>162</v>
      </c>
      <c r="P41" s="8" t="s">
        <v>162</v>
      </c>
      <c r="Q41" s="6"/>
      <c r="R41" s="6" t="s">
        <v>123</v>
      </c>
      <c r="S41" s="6"/>
      <c r="T41" s="22"/>
      <c r="U41" s="13"/>
      <c r="V41" s="13"/>
      <c r="W41" s="6" t="s">
        <v>195</v>
      </c>
    </row>
    <row r="42" spans="1:23" x14ac:dyDescent="0.25">
      <c r="A42" s="6">
        <v>41</v>
      </c>
      <c r="B42" s="7" t="s">
        <v>592</v>
      </c>
      <c r="C42" s="6" t="s">
        <v>249</v>
      </c>
      <c r="D42" s="50" t="s">
        <v>249</v>
      </c>
      <c r="E42" s="6">
        <v>1</v>
      </c>
      <c r="F42" s="18" t="s">
        <v>241</v>
      </c>
      <c r="G42" s="18" t="s">
        <v>246</v>
      </c>
      <c r="H42" s="54" t="s">
        <v>250</v>
      </c>
      <c r="I42" s="19" t="s">
        <v>192</v>
      </c>
      <c r="J42" s="6" t="s">
        <v>251</v>
      </c>
      <c r="K42" s="15" t="s">
        <v>22</v>
      </c>
      <c r="L42" s="6">
        <f t="shared" ref="L42:L57" si="2">2025-M42</f>
        <v>1977</v>
      </c>
      <c r="M42" s="6">
        <v>48</v>
      </c>
      <c r="N42" s="6">
        <v>4.5</v>
      </c>
      <c r="O42" s="20" t="s">
        <v>162</v>
      </c>
      <c r="P42" s="8" t="s">
        <v>46</v>
      </c>
      <c r="Q42" s="6"/>
      <c r="R42" s="6" t="s">
        <v>92</v>
      </c>
      <c r="S42" s="6"/>
      <c r="T42" s="15"/>
      <c r="U42" s="6"/>
      <c r="V42" s="6"/>
      <c r="W42" s="6" t="s">
        <v>195</v>
      </c>
    </row>
    <row r="43" spans="1:23" x14ac:dyDescent="0.25">
      <c r="A43" s="6">
        <v>42</v>
      </c>
      <c r="B43" s="7" t="s">
        <v>592</v>
      </c>
      <c r="C43" s="6" t="s">
        <v>252</v>
      </c>
      <c r="D43" s="50" t="s">
        <v>252</v>
      </c>
      <c r="E43" s="6">
        <v>1</v>
      </c>
      <c r="F43" s="21" t="s">
        <v>253</v>
      </c>
      <c r="G43" s="29" t="s">
        <v>254</v>
      </c>
      <c r="H43" s="51" t="s">
        <v>255</v>
      </c>
      <c r="I43" s="10" t="s">
        <v>192</v>
      </c>
      <c r="J43" s="6" t="s">
        <v>256</v>
      </c>
      <c r="K43" s="22" t="s">
        <v>22</v>
      </c>
      <c r="L43" s="13">
        <f t="shared" si="2"/>
        <v>1967</v>
      </c>
      <c r="M43" s="13">
        <v>58</v>
      </c>
      <c r="N43" s="13">
        <v>4.4000000000000004</v>
      </c>
      <c r="O43" s="28" t="s">
        <v>162</v>
      </c>
      <c r="P43" s="8" t="s">
        <v>257</v>
      </c>
      <c r="Q43" s="6"/>
      <c r="R43" s="6" t="s">
        <v>92</v>
      </c>
      <c r="S43" s="6"/>
      <c r="T43" s="22"/>
      <c r="U43" s="13"/>
      <c r="V43" s="13"/>
      <c r="W43" s="6" t="s">
        <v>195</v>
      </c>
    </row>
    <row r="44" spans="1:23" x14ac:dyDescent="0.25">
      <c r="A44" s="6">
        <v>43</v>
      </c>
      <c r="B44" s="7" t="s">
        <v>592</v>
      </c>
      <c r="C44" s="20" t="s">
        <v>258</v>
      </c>
      <c r="D44" s="65" t="s">
        <v>258</v>
      </c>
      <c r="E44" s="6">
        <v>1</v>
      </c>
      <c r="F44" s="20" t="s">
        <v>254</v>
      </c>
      <c r="G44" s="29" t="s">
        <v>259</v>
      </c>
      <c r="H44" s="51" t="s">
        <v>260</v>
      </c>
      <c r="I44" s="10" t="s">
        <v>192</v>
      </c>
      <c r="J44" s="6" t="s">
        <v>261</v>
      </c>
      <c r="K44" s="15" t="s">
        <v>22</v>
      </c>
      <c r="L44" s="6">
        <f t="shared" si="2"/>
        <v>1958</v>
      </c>
      <c r="M44" s="6">
        <v>67</v>
      </c>
      <c r="N44" s="6">
        <v>3.3</v>
      </c>
      <c r="O44" s="20" t="s">
        <v>162</v>
      </c>
      <c r="P44" s="8" t="s">
        <v>73</v>
      </c>
      <c r="Q44" s="6"/>
      <c r="R44" s="6" t="s">
        <v>38</v>
      </c>
      <c r="S44" s="6"/>
      <c r="T44" s="15"/>
      <c r="U44" s="6"/>
      <c r="V44" s="6"/>
      <c r="W44" s="15" t="s">
        <v>262</v>
      </c>
    </row>
    <row r="45" spans="1:23" x14ac:dyDescent="0.25">
      <c r="A45" s="6">
        <v>44</v>
      </c>
      <c r="B45" s="7" t="s">
        <v>592</v>
      </c>
      <c r="C45" s="20" t="s">
        <v>263</v>
      </c>
      <c r="D45" s="65" t="s">
        <v>263</v>
      </c>
      <c r="E45" s="6">
        <v>1</v>
      </c>
      <c r="F45" s="20" t="s">
        <v>254</v>
      </c>
      <c r="G45" s="29" t="s">
        <v>259</v>
      </c>
      <c r="H45" s="51" t="s">
        <v>264</v>
      </c>
      <c r="I45" s="10" t="s">
        <v>192</v>
      </c>
      <c r="J45" s="6" t="s">
        <v>265</v>
      </c>
      <c r="K45" s="22" t="s">
        <v>22</v>
      </c>
      <c r="L45" s="13">
        <f t="shared" si="2"/>
        <v>1948</v>
      </c>
      <c r="M45" s="13">
        <v>77</v>
      </c>
      <c r="N45" s="13">
        <v>4.4000000000000004</v>
      </c>
      <c r="O45" s="28" t="s">
        <v>162</v>
      </c>
      <c r="P45" s="8" t="s">
        <v>52</v>
      </c>
      <c r="Q45" s="6"/>
      <c r="R45" s="6" t="s">
        <v>31</v>
      </c>
      <c r="S45" s="6"/>
      <c r="T45" s="22"/>
      <c r="U45" s="13"/>
      <c r="V45" s="13"/>
      <c r="W45" s="6" t="s">
        <v>195</v>
      </c>
    </row>
    <row r="46" spans="1:23" x14ac:dyDescent="0.25">
      <c r="A46" s="6">
        <v>45</v>
      </c>
      <c r="B46" s="7" t="s">
        <v>592</v>
      </c>
      <c r="C46" s="20" t="s">
        <v>266</v>
      </c>
      <c r="D46" s="65" t="s">
        <v>266</v>
      </c>
      <c r="E46" s="6">
        <v>1</v>
      </c>
      <c r="F46" s="14" t="s">
        <v>259</v>
      </c>
      <c r="G46" s="14" t="s">
        <v>267</v>
      </c>
      <c r="H46" s="51" t="s">
        <v>268</v>
      </c>
      <c r="I46" s="10" t="s">
        <v>192</v>
      </c>
      <c r="J46" s="6" t="s">
        <v>269</v>
      </c>
      <c r="K46" s="22" t="s">
        <v>22</v>
      </c>
      <c r="L46" s="13">
        <f t="shared" si="2"/>
        <v>1960</v>
      </c>
      <c r="M46" s="13">
        <v>65</v>
      </c>
      <c r="N46" s="6">
        <v>4</v>
      </c>
      <c r="O46" s="28" t="s">
        <v>52</v>
      </c>
      <c r="P46" s="8" t="s">
        <v>257</v>
      </c>
      <c r="Q46" s="6"/>
      <c r="R46" s="6" t="s">
        <v>92</v>
      </c>
      <c r="S46" s="6"/>
      <c r="T46" s="15"/>
      <c r="U46" s="6"/>
      <c r="V46" s="6"/>
      <c r="W46" s="6" t="s">
        <v>195</v>
      </c>
    </row>
    <row r="47" spans="1:23" x14ac:dyDescent="0.25">
      <c r="A47" s="6">
        <v>46</v>
      </c>
      <c r="B47" s="7" t="s">
        <v>592</v>
      </c>
      <c r="C47" s="20" t="s">
        <v>270</v>
      </c>
      <c r="D47" s="65" t="s">
        <v>270</v>
      </c>
      <c r="E47" s="6">
        <v>1</v>
      </c>
      <c r="F47" s="14" t="s">
        <v>259</v>
      </c>
      <c r="G47" s="14" t="s">
        <v>267</v>
      </c>
      <c r="H47" s="51" t="s">
        <v>271</v>
      </c>
      <c r="I47" s="10" t="s">
        <v>192</v>
      </c>
      <c r="J47" s="6" t="s">
        <v>272</v>
      </c>
      <c r="K47" s="15" t="s">
        <v>22</v>
      </c>
      <c r="L47" s="6">
        <f t="shared" si="2"/>
        <v>1982</v>
      </c>
      <c r="M47" s="6">
        <v>43</v>
      </c>
      <c r="N47" s="15">
        <v>3.5</v>
      </c>
      <c r="O47" s="28" t="s">
        <v>52</v>
      </c>
      <c r="P47" s="8" t="s">
        <v>44</v>
      </c>
      <c r="Q47" s="6"/>
      <c r="R47" s="6" t="s">
        <v>45</v>
      </c>
      <c r="S47" s="6"/>
      <c r="T47" s="15"/>
      <c r="U47" s="6"/>
      <c r="V47" s="6"/>
      <c r="W47" s="6" t="s">
        <v>195</v>
      </c>
    </row>
    <row r="48" spans="1:23" x14ac:dyDescent="0.25">
      <c r="A48" s="6">
        <v>47</v>
      </c>
      <c r="B48" s="7" t="s">
        <v>592</v>
      </c>
      <c r="C48" s="20" t="s">
        <v>273</v>
      </c>
      <c r="D48" s="65" t="s">
        <v>273</v>
      </c>
      <c r="E48" s="6">
        <v>1</v>
      </c>
      <c r="F48" s="14" t="s">
        <v>259</v>
      </c>
      <c r="G48" s="14" t="s">
        <v>267</v>
      </c>
      <c r="H48" s="51" t="s">
        <v>274</v>
      </c>
      <c r="I48" s="10" t="s">
        <v>192</v>
      </c>
      <c r="J48" s="6" t="s">
        <v>275</v>
      </c>
      <c r="K48" s="15" t="s">
        <v>125</v>
      </c>
      <c r="L48" s="6">
        <f t="shared" si="2"/>
        <v>1966</v>
      </c>
      <c r="M48" s="6">
        <v>59</v>
      </c>
      <c r="N48" s="15">
        <v>4.5</v>
      </c>
      <c r="O48" s="6"/>
      <c r="P48" s="8" t="s">
        <v>207</v>
      </c>
      <c r="Q48" s="30"/>
      <c r="R48" s="6" t="s">
        <v>38</v>
      </c>
      <c r="S48" s="6"/>
      <c r="T48" s="6"/>
      <c r="U48" s="6"/>
      <c r="V48" s="6"/>
      <c r="W48" s="6" t="s">
        <v>195</v>
      </c>
    </row>
    <row r="49" spans="1:23" x14ac:dyDescent="0.25">
      <c r="A49" s="6">
        <v>48</v>
      </c>
      <c r="B49" s="7" t="s">
        <v>592</v>
      </c>
      <c r="C49" s="28" t="s">
        <v>276</v>
      </c>
      <c r="D49" s="66" t="s">
        <v>276</v>
      </c>
      <c r="E49" s="6">
        <v>1</v>
      </c>
      <c r="F49" s="29" t="s">
        <v>259</v>
      </c>
      <c r="G49" s="29" t="s">
        <v>267</v>
      </c>
      <c r="H49" s="51" t="s">
        <v>277</v>
      </c>
      <c r="I49" s="10" t="s">
        <v>192</v>
      </c>
      <c r="J49" s="6" t="s">
        <v>278</v>
      </c>
      <c r="K49" s="22" t="s">
        <v>125</v>
      </c>
      <c r="L49" s="13">
        <f t="shared" si="2"/>
        <v>1965</v>
      </c>
      <c r="M49" s="13">
        <v>60</v>
      </c>
      <c r="N49" s="22">
        <v>4</v>
      </c>
      <c r="O49" s="13"/>
      <c r="P49" s="23" t="s">
        <v>228</v>
      </c>
      <c r="Q49" s="30"/>
      <c r="R49" s="13" t="s">
        <v>92</v>
      </c>
      <c r="S49" s="13"/>
      <c r="T49" s="13"/>
      <c r="U49" s="13"/>
      <c r="V49" s="13"/>
      <c r="W49" s="13" t="s">
        <v>195</v>
      </c>
    </row>
    <row r="50" spans="1:23" x14ac:dyDescent="0.25">
      <c r="A50" s="6">
        <v>49</v>
      </c>
      <c r="B50" s="7" t="s">
        <v>592</v>
      </c>
      <c r="C50" s="6" t="s">
        <v>280</v>
      </c>
      <c r="D50" s="50" t="s">
        <v>280</v>
      </c>
      <c r="E50" s="6">
        <v>1</v>
      </c>
      <c r="F50" s="10" t="s">
        <v>267</v>
      </c>
      <c r="G50" s="20" t="s">
        <v>279</v>
      </c>
      <c r="H50" s="50" t="s">
        <v>281</v>
      </c>
      <c r="I50" s="6" t="s">
        <v>192</v>
      </c>
      <c r="J50" s="6" t="s">
        <v>282</v>
      </c>
      <c r="K50" s="15" t="s">
        <v>22</v>
      </c>
      <c r="L50" s="6">
        <f t="shared" si="2"/>
        <v>1952</v>
      </c>
      <c r="M50" s="6">
        <v>73</v>
      </c>
      <c r="N50" s="6">
        <v>4.5</v>
      </c>
      <c r="O50" s="6" t="s">
        <v>44</v>
      </c>
      <c r="P50" s="23" t="s">
        <v>228</v>
      </c>
      <c r="Q50" s="30"/>
      <c r="R50" s="13" t="s">
        <v>92</v>
      </c>
      <c r="S50" s="13"/>
      <c r="T50" s="13"/>
      <c r="U50" s="6"/>
      <c r="V50" s="6"/>
      <c r="W50" s="6" t="s">
        <v>195</v>
      </c>
    </row>
    <row r="51" spans="1:23" x14ac:dyDescent="0.25">
      <c r="A51" s="6">
        <v>50</v>
      </c>
      <c r="B51" s="7" t="s">
        <v>592</v>
      </c>
      <c r="C51" s="13" t="s">
        <v>283</v>
      </c>
      <c r="D51" s="55" t="s">
        <v>283</v>
      </c>
      <c r="E51" s="6">
        <v>1</v>
      </c>
      <c r="F51" s="12" t="s">
        <v>267</v>
      </c>
      <c r="G51" s="28" t="s">
        <v>279</v>
      </c>
      <c r="H51" s="50" t="s">
        <v>284</v>
      </c>
      <c r="I51" s="6" t="s">
        <v>192</v>
      </c>
      <c r="J51" s="6" t="s">
        <v>285</v>
      </c>
      <c r="K51" s="22" t="s">
        <v>22</v>
      </c>
      <c r="L51" s="13">
        <f t="shared" si="2"/>
        <v>1973</v>
      </c>
      <c r="M51" s="13">
        <v>52</v>
      </c>
      <c r="N51" s="13">
        <v>5.2</v>
      </c>
      <c r="O51" s="13" t="s">
        <v>162</v>
      </c>
      <c r="P51" s="8" t="s">
        <v>228</v>
      </c>
      <c r="R51" s="6" t="s">
        <v>92</v>
      </c>
      <c r="S51" s="6"/>
      <c r="T51" s="6"/>
      <c r="U51" s="22"/>
      <c r="V51" s="13"/>
      <c r="W51" s="13"/>
    </row>
    <row r="52" spans="1:23" x14ac:dyDescent="0.25">
      <c r="A52" s="6">
        <v>51</v>
      </c>
      <c r="B52" s="7" t="s">
        <v>592</v>
      </c>
      <c r="C52" s="13" t="s">
        <v>286</v>
      </c>
      <c r="D52" s="55" t="s">
        <v>286</v>
      </c>
      <c r="E52" s="6">
        <v>1</v>
      </c>
      <c r="F52" s="10" t="s">
        <v>279</v>
      </c>
      <c r="G52" s="14" t="s">
        <v>287</v>
      </c>
      <c r="H52" s="51" t="s">
        <v>288</v>
      </c>
      <c r="I52" s="10" t="s">
        <v>192</v>
      </c>
      <c r="J52" s="6" t="s">
        <v>289</v>
      </c>
      <c r="K52" s="22" t="s">
        <v>125</v>
      </c>
      <c r="L52" s="13">
        <f t="shared" si="2"/>
        <v>1963</v>
      </c>
      <c r="M52" s="6">
        <v>62</v>
      </c>
      <c r="N52" s="6">
        <v>4.5</v>
      </c>
      <c r="O52" s="6" t="s">
        <v>52</v>
      </c>
      <c r="P52" s="31" t="s">
        <v>212</v>
      </c>
      <c r="Q52" s="13"/>
      <c r="R52" s="15" t="s">
        <v>290</v>
      </c>
      <c r="S52" s="6"/>
      <c r="T52" s="6"/>
      <c r="U52" s="15"/>
      <c r="V52" s="6"/>
      <c r="W52" s="6"/>
    </row>
    <row r="53" spans="1:23" x14ac:dyDescent="0.25">
      <c r="A53" s="6">
        <v>52</v>
      </c>
      <c r="B53" s="7" t="s">
        <v>592</v>
      </c>
      <c r="C53" s="13" t="s">
        <v>291</v>
      </c>
      <c r="D53" s="55" t="s">
        <v>291</v>
      </c>
      <c r="E53" s="6">
        <v>1</v>
      </c>
      <c r="F53" s="12" t="s">
        <v>279</v>
      </c>
      <c r="G53" s="29" t="s">
        <v>287</v>
      </c>
      <c r="H53" s="51" t="s">
        <v>292</v>
      </c>
      <c r="I53" s="10" t="s">
        <v>192</v>
      </c>
      <c r="J53" s="6" t="s">
        <v>293</v>
      </c>
      <c r="K53" s="15" t="s">
        <v>125</v>
      </c>
      <c r="L53" s="6">
        <f t="shared" si="2"/>
        <v>1949</v>
      </c>
      <c r="M53" s="22">
        <v>76</v>
      </c>
      <c r="N53" s="13">
        <v>6.4</v>
      </c>
      <c r="O53" s="28"/>
      <c r="P53" s="8" t="s">
        <v>294</v>
      </c>
      <c r="Q53" s="6"/>
      <c r="R53" s="15" t="s">
        <v>31</v>
      </c>
      <c r="S53" s="6"/>
      <c r="T53" s="6"/>
      <c r="U53" s="22"/>
      <c r="V53" s="13"/>
      <c r="W53" s="13" t="s">
        <v>195</v>
      </c>
    </row>
    <row r="54" spans="1:23" x14ac:dyDescent="0.25">
      <c r="A54" s="6">
        <v>53</v>
      </c>
      <c r="B54" s="7" t="s">
        <v>592</v>
      </c>
      <c r="C54" s="6" t="s">
        <v>295</v>
      </c>
      <c r="D54" s="50" t="s">
        <v>295</v>
      </c>
      <c r="E54" s="6">
        <v>1</v>
      </c>
      <c r="F54" s="12" t="s">
        <v>296</v>
      </c>
      <c r="G54" s="29" t="s">
        <v>297</v>
      </c>
      <c r="H54" s="51" t="s">
        <v>298</v>
      </c>
      <c r="I54" s="10" t="s">
        <v>192</v>
      </c>
      <c r="J54" s="6" t="s">
        <v>299</v>
      </c>
      <c r="K54" s="15" t="s">
        <v>125</v>
      </c>
      <c r="L54" s="6">
        <f t="shared" si="2"/>
        <v>1977</v>
      </c>
      <c r="M54" s="22">
        <v>48</v>
      </c>
      <c r="N54" s="13">
        <v>4.7</v>
      </c>
      <c r="O54" s="28" t="s">
        <v>52</v>
      </c>
      <c r="P54" s="8" t="s">
        <v>228</v>
      </c>
      <c r="Q54" s="6"/>
      <c r="R54" s="15" t="s">
        <v>92</v>
      </c>
      <c r="S54" s="6"/>
      <c r="T54" s="6"/>
      <c r="U54" s="22"/>
      <c r="V54" s="13"/>
      <c r="W54" s="13"/>
    </row>
    <row r="55" spans="1:23" x14ac:dyDescent="0.25">
      <c r="A55" s="6">
        <v>54</v>
      </c>
      <c r="B55" s="7" t="s">
        <v>592</v>
      </c>
      <c r="C55" s="28" t="s">
        <v>300</v>
      </c>
      <c r="D55" s="66" t="s">
        <v>300</v>
      </c>
      <c r="E55" s="6">
        <v>1</v>
      </c>
      <c r="F55" s="13" t="s">
        <v>297</v>
      </c>
      <c r="G55" s="29" t="s">
        <v>301</v>
      </c>
      <c r="H55" s="51" t="s">
        <v>302</v>
      </c>
      <c r="I55" s="10" t="s">
        <v>192</v>
      </c>
      <c r="J55" s="6" t="s">
        <v>303</v>
      </c>
      <c r="K55" s="15" t="s">
        <v>22</v>
      </c>
      <c r="L55" s="13">
        <f t="shared" si="2"/>
        <v>1982</v>
      </c>
      <c r="M55" s="22">
        <v>43</v>
      </c>
      <c r="N55" s="13">
        <v>4</v>
      </c>
      <c r="O55" s="28" t="s">
        <v>212</v>
      </c>
      <c r="P55" s="8" t="s">
        <v>207</v>
      </c>
      <c r="Q55" s="6"/>
      <c r="R55" s="15" t="s">
        <v>38</v>
      </c>
      <c r="S55" s="6"/>
      <c r="T55" s="6"/>
      <c r="U55" s="22"/>
      <c r="V55" s="13"/>
      <c r="W55" s="13"/>
    </row>
    <row r="56" spans="1:23" x14ac:dyDescent="0.25">
      <c r="A56" s="6">
        <v>55</v>
      </c>
      <c r="B56" s="7" t="s">
        <v>592</v>
      </c>
      <c r="C56" s="6" t="s">
        <v>304</v>
      </c>
      <c r="D56" s="50" t="s">
        <v>304</v>
      </c>
      <c r="E56" s="6">
        <v>1</v>
      </c>
      <c r="F56" s="32" t="s">
        <v>305</v>
      </c>
      <c r="G56" s="29" t="s">
        <v>305</v>
      </c>
      <c r="H56" s="55" t="s">
        <v>306</v>
      </c>
      <c r="I56" s="13" t="s">
        <v>192</v>
      </c>
      <c r="J56" s="13" t="s">
        <v>307</v>
      </c>
      <c r="K56" s="33" t="s">
        <v>125</v>
      </c>
      <c r="L56" s="13">
        <f t="shared" si="2"/>
        <v>1950</v>
      </c>
      <c r="M56" s="13">
        <v>75</v>
      </c>
      <c r="N56" s="13" t="s">
        <v>308</v>
      </c>
      <c r="O56" s="28" t="s">
        <v>44</v>
      </c>
      <c r="P56" s="8" t="s">
        <v>207</v>
      </c>
      <c r="Q56" s="6"/>
      <c r="R56" s="15" t="s">
        <v>38</v>
      </c>
      <c r="S56" s="6"/>
      <c r="T56" s="6"/>
      <c r="U56" s="22"/>
      <c r="V56" s="13"/>
      <c r="W56" s="13"/>
    </row>
    <row r="57" spans="1:23" x14ac:dyDescent="0.25">
      <c r="A57" s="6">
        <v>56</v>
      </c>
      <c r="B57" s="7" t="s">
        <v>592</v>
      </c>
      <c r="C57" s="20" t="s">
        <v>309</v>
      </c>
      <c r="D57" s="65" t="s">
        <v>309</v>
      </c>
      <c r="E57" s="6">
        <v>1</v>
      </c>
      <c r="F57" s="10" t="s">
        <v>305</v>
      </c>
      <c r="G57" s="10" t="s">
        <v>305</v>
      </c>
      <c r="H57" s="50" t="s">
        <v>310</v>
      </c>
      <c r="I57" s="6" t="s">
        <v>21</v>
      </c>
      <c r="J57" s="6" t="s">
        <v>311</v>
      </c>
      <c r="K57" s="6" t="s">
        <v>22</v>
      </c>
      <c r="L57" s="6">
        <f t="shared" si="2"/>
        <v>1985</v>
      </c>
      <c r="M57" s="6">
        <v>40</v>
      </c>
      <c r="N57" s="6" t="s">
        <v>312</v>
      </c>
      <c r="O57" s="20" t="s">
        <v>52</v>
      </c>
      <c r="P57" s="8" t="s">
        <v>30</v>
      </c>
      <c r="Q57" s="6"/>
      <c r="R57" s="15" t="s">
        <v>31</v>
      </c>
      <c r="S57" s="6"/>
      <c r="T57" s="6"/>
      <c r="U57" s="15"/>
      <c r="V57" s="6"/>
      <c r="W57" s="6"/>
    </row>
    <row r="58" spans="1:23" x14ac:dyDescent="0.25">
      <c r="A58" s="6">
        <v>57</v>
      </c>
      <c r="B58" s="7" t="s">
        <v>592</v>
      </c>
      <c r="C58" s="20" t="s">
        <v>313</v>
      </c>
      <c r="D58" s="65" t="s">
        <v>313</v>
      </c>
      <c r="E58" s="6">
        <v>1</v>
      </c>
      <c r="F58" s="10" t="s">
        <v>314</v>
      </c>
      <c r="G58" s="10" t="s">
        <v>315</v>
      </c>
      <c r="H58" s="50" t="s">
        <v>316</v>
      </c>
      <c r="I58" s="6" t="s">
        <v>192</v>
      </c>
      <c r="J58" s="6" t="s">
        <v>317</v>
      </c>
      <c r="K58" s="6" t="s">
        <v>25</v>
      </c>
      <c r="L58" s="6">
        <f t="shared" ref="L58:L61" si="3">2025-M58</f>
        <v>1950</v>
      </c>
      <c r="M58" s="6">
        <v>75</v>
      </c>
      <c r="N58" s="6" t="s">
        <v>318</v>
      </c>
      <c r="O58" s="20" t="s">
        <v>162</v>
      </c>
      <c r="P58" s="8" t="s">
        <v>319</v>
      </c>
      <c r="Q58" s="6"/>
      <c r="R58" s="15" t="s">
        <v>45</v>
      </c>
      <c r="S58" s="6"/>
      <c r="T58" s="6"/>
      <c r="U58" s="15"/>
      <c r="V58" s="6"/>
      <c r="W58" s="6"/>
    </row>
    <row r="59" spans="1:23" x14ac:dyDescent="0.25">
      <c r="A59" s="6">
        <v>58</v>
      </c>
      <c r="B59" s="7" t="s">
        <v>592</v>
      </c>
      <c r="C59" s="20" t="s">
        <v>320</v>
      </c>
      <c r="D59" s="65" t="s">
        <v>320</v>
      </c>
      <c r="E59" s="6">
        <v>1</v>
      </c>
      <c r="F59" s="10" t="s">
        <v>314</v>
      </c>
      <c r="G59" s="10" t="s">
        <v>315</v>
      </c>
      <c r="H59" s="50" t="s">
        <v>321</v>
      </c>
      <c r="I59" s="6" t="s">
        <v>21</v>
      </c>
      <c r="J59" s="6" t="s">
        <v>322</v>
      </c>
      <c r="K59" s="6" t="s">
        <v>25</v>
      </c>
      <c r="L59" s="6">
        <f t="shared" si="3"/>
        <v>1950</v>
      </c>
      <c r="M59" s="6">
        <v>75</v>
      </c>
      <c r="N59" s="6" t="s">
        <v>323</v>
      </c>
      <c r="O59" s="20" t="s">
        <v>162</v>
      </c>
      <c r="P59" s="8" t="s">
        <v>30</v>
      </c>
      <c r="Q59" s="6"/>
      <c r="R59" s="15" t="s">
        <v>31</v>
      </c>
      <c r="S59" s="6"/>
      <c r="T59" s="6"/>
      <c r="U59" s="15"/>
      <c r="V59" s="6"/>
      <c r="W59" s="6"/>
    </row>
    <row r="60" spans="1:23" x14ac:dyDescent="0.25">
      <c r="A60" s="6">
        <v>59</v>
      </c>
      <c r="B60" s="7" t="s">
        <v>592</v>
      </c>
      <c r="C60" s="20" t="s">
        <v>324</v>
      </c>
      <c r="D60" s="65" t="s">
        <v>324</v>
      </c>
      <c r="E60" s="6">
        <v>1</v>
      </c>
      <c r="F60" s="10" t="s">
        <v>314</v>
      </c>
      <c r="G60" s="10" t="s">
        <v>315</v>
      </c>
      <c r="H60" s="50" t="s">
        <v>325</v>
      </c>
      <c r="I60" s="6" t="s">
        <v>21</v>
      </c>
      <c r="J60" s="6" t="s">
        <v>326</v>
      </c>
      <c r="K60" s="6" t="s">
        <v>22</v>
      </c>
      <c r="L60" s="6">
        <f t="shared" si="3"/>
        <v>1957</v>
      </c>
      <c r="M60" s="6">
        <v>68</v>
      </c>
      <c r="N60" s="6" t="s">
        <v>318</v>
      </c>
      <c r="O60" s="6"/>
      <c r="P60" s="34" t="s">
        <v>294</v>
      </c>
      <c r="Q60" s="6"/>
      <c r="R60" s="6" t="s">
        <v>31</v>
      </c>
      <c r="S60" s="15"/>
      <c r="T60" s="6"/>
      <c r="U60" s="6"/>
      <c r="V60" s="6"/>
      <c r="W60" s="6"/>
    </row>
    <row r="61" spans="1:23" x14ac:dyDescent="0.25">
      <c r="A61" s="6">
        <v>60</v>
      </c>
      <c r="B61" s="7" t="s">
        <v>592</v>
      </c>
      <c r="C61" s="20" t="s">
        <v>328</v>
      </c>
      <c r="D61" s="65" t="s">
        <v>328</v>
      </c>
      <c r="E61" s="6">
        <v>1</v>
      </c>
      <c r="F61" s="6" t="s">
        <v>327</v>
      </c>
      <c r="G61" s="10" t="s">
        <v>329</v>
      </c>
      <c r="H61" s="50" t="s">
        <v>330</v>
      </c>
      <c r="I61" s="6" t="s">
        <v>192</v>
      </c>
      <c r="J61" s="6" t="s">
        <v>331</v>
      </c>
      <c r="K61" s="6" t="s">
        <v>25</v>
      </c>
      <c r="L61" s="6">
        <f t="shared" si="3"/>
        <v>1968</v>
      </c>
      <c r="M61" s="6">
        <v>57</v>
      </c>
      <c r="N61" s="6">
        <v>4.8</v>
      </c>
      <c r="O61" s="6" t="s">
        <v>44</v>
      </c>
      <c r="P61" s="34" t="s">
        <v>202</v>
      </c>
      <c r="Q61" s="6"/>
      <c r="R61" s="6" t="s">
        <v>123</v>
      </c>
      <c r="S61" s="15"/>
      <c r="T61" s="6"/>
      <c r="U61" s="6"/>
      <c r="V61" s="6"/>
      <c r="W61" s="6"/>
    </row>
    <row r="62" spans="1:23" x14ac:dyDescent="0.25">
      <c r="A62" s="6">
        <v>61</v>
      </c>
      <c r="B62" s="7" t="s">
        <v>592</v>
      </c>
      <c r="C62" s="20" t="s">
        <v>332</v>
      </c>
      <c r="D62" s="65" t="s">
        <v>332</v>
      </c>
      <c r="E62" s="6">
        <v>1</v>
      </c>
      <c r="F62" s="12" t="s">
        <v>333</v>
      </c>
      <c r="G62" s="12" t="s">
        <v>334</v>
      </c>
      <c r="H62" s="55" t="s">
        <v>335</v>
      </c>
      <c r="I62" s="13" t="s">
        <v>192</v>
      </c>
      <c r="J62" s="13" t="s">
        <v>214</v>
      </c>
      <c r="K62" s="13" t="s">
        <v>25</v>
      </c>
      <c r="L62" s="13">
        <f t="shared" ref="L62:L64" si="4">2025-M62</f>
        <v>1950</v>
      </c>
      <c r="M62" s="13">
        <v>75</v>
      </c>
      <c r="N62" s="13">
        <v>4.8</v>
      </c>
      <c r="O62" s="13" t="s">
        <v>52</v>
      </c>
      <c r="P62" s="31" t="s">
        <v>319</v>
      </c>
      <c r="Q62" s="6"/>
      <c r="R62" s="6" t="s">
        <v>45</v>
      </c>
      <c r="S62" s="22"/>
      <c r="T62" s="13"/>
      <c r="U62" s="13"/>
      <c r="V62" s="13"/>
      <c r="W62" s="13"/>
    </row>
    <row r="63" spans="1:23" x14ac:dyDescent="0.25">
      <c r="A63" s="6">
        <v>62</v>
      </c>
      <c r="B63" s="7" t="s">
        <v>592</v>
      </c>
      <c r="C63" s="20" t="s">
        <v>336</v>
      </c>
      <c r="D63" s="65" t="s">
        <v>336</v>
      </c>
      <c r="E63" s="6">
        <v>1</v>
      </c>
      <c r="F63" s="10" t="s">
        <v>333</v>
      </c>
      <c r="G63" s="10" t="s">
        <v>334</v>
      </c>
      <c r="H63" s="50" t="s">
        <v>337</v>
      </c>
      <c r="I63" s="6" t="s">
        <v>192</v>
      </c>
      <c r="J63" s="6" t="s">
        <v>338</v>
      </c>
      <c r="K63" s="6" t="s">
        <v>25</v>
      </c>
      <c r="L63" s="6">
        <f t="shared" si="4"/>
        <v>1955</v>
      </c>
      <c r="M63" s="6">
        <v>70</v>
      </c>
      <c r="N63" s="6">
        <v>3.7</v>
      </c>
      <c r="O63" s="6" t="s">
        <v>52</v>
      </c>
      <c r="P63" s="34" t="s">
        <v>207</v>
      </c>
      <c r="Q63" s="6"/>
      <c r="R63" s="6" t="s">
        <v>38</v>
      </c>
      <c r="S63" s="15"/>
      <c r="T63" s="6"/>
      <c r="U63" s="6"/>
      <c r="V63" s="6"/>
      <c r="W63" s="6"/>
    </row>
    <row r="64" spans="1:23" x14ac:dyDescent="0.25">
      <c r="A64" s="6">
        <v>63</v>
      </c>
      <c r="B64" s="7" t="s">
        <v>592</v>
      </c>
      <c r="C64" s="20" t="s">
        <v>339</v>
      </c>
      <c r="D64" s="65" t="s">
        <v>339</v>
      </c>
      <c r="E64" s="6">
        <v>1</v>
      </c>
      <c r="F64" s="10" t="s">
        <v>333</v>
      </c>
      <c r="G64" s="10" t="s">
        <v>334</v>
      </c>
      <c r="H64" s="50" t="s">
        <v>340</v>
      </c>
      <c r="I64" s="6" t="s">
        <v>192</v>
      </c>
      <c r="J64" s="6" t="s">
        <v>341</v>
      </c>
      <c r="K64" s="6" t="s">
        <v>25</v>
      </c>
      <c r="L64" s="6">
        <f t="shared" si="4"/>
        <v>1956</v>
      </c>
      <c r="M64" s="6">
        <v>69</v>
      </c>
      <c r="N64" s="6">
        <v>4.9000000000000004</v>
      </c>
      <c r="O64" s="6" t="s">
        <v>139</v>
      </c>
      <c r="P64" s="31" t="s">
        <v>207</v>
      </c>
      <c r="Q64" s="13"/>
      <c r="R64" s="13" t="s">
        <v>38</v>
      </c>
      <c r="S64" s="15"/>
      <c r="T64" s="6"/>
      <c r="U64" s="6"/>
      <c r="V64" s="6"/>
      <c r="W64" s="6"/>
    </row>
    <row r="65" spans="1:23" x14ac:dyDescent="0.25">
      <c r="A65" s="6">
        <v>64</v>
      </c>
      <c r="B65" s="7" t="s">
        <v>592</v>
      </c>
      <c r="C65" s="6" t="s">
        <v>342</v>
      </c>
      <c r="D65" s="50" t="s">
        <v>342</v>
      </c>
      <c r="E65" s="6">
        <v>1</v>
      </c>
      <c r="F65" s="6" t="s">
        <v>343</v>
      </c>
      <c r="G65" s="10" t="s">
        <v>344</v>
      </c>
      <c r="H65" s="50" t="s">
        <v>345</v>
      </c>
      <c r="I65" s="13" t="s">
        <v>192</v>
      </c>
      <c r="J65" s="6" t="s">
        <v>346</v>
      </c>
      <c r="K65" s="6" t="s">
        <v>22</v>
      </c>
      <c r="L65" s="6">
        <f>2025-M65</f>
        <v>1955</v>
      </c>
      <c r="M65" s="6">
        <v>70</v>
      </c>
      <c r="N65" s="6">
        <v>4.9000000000000004</v>
      </c>
      <c r="O65" s="6" t="s">
        <v>73</v>
      </c>
      <c r="P65" s="23" t="s">
        <v>140</v>
      </c>
      <c r="R65" s="35" t="s">
        <v>38</v>
      </c>
      <c r="S65" s="6"/>
      <c r="T65" s="6"/>
      <c r="U65" s="6"/>
      <c r="V65" s="6"/>
      <c r="W65" s="6"/>
    </row>
    <row r="66" spans="1:23" ht="15.75" thickBot="1" x14ac:dyDescent="0.3">
      <c r="A66" s="6">
        <v>65</v>
      </c>
      <c r="B66" s="7" t="s">
        <v>592</v>
      </c>
      <c r="C66" s="28" t="s">
        <v>347</v>
      </c>
      <c r="D66" s="66" t="s">
        <v>347</v>
      </c>
      <c r="E66" s="6">
        <v>1</v>
      </c>
      <c r="F66" s="6" t="s">
        <v>343</v>
      </c>
      <c r="G66" s="10" t="s">
        <v>344</v>
      </c>
      <c r="H66" s="50" t="s">
        <v>348</v>
      </c>
      <c r="I66" s="6" t="s">
        <v>192</v>
      </c>
      <c r="J66" s="6" t="s">
        <v>349</v>
      </c>
      <c r="K66" s="6" t="s">
        <v>25</v>
      </c>
      <c r="L66" s="6">
        <f>2025-M66</f>
        <v>1952</v>
      </c>
      <c r="M66" s="6">
        <v>73</v>
      </c>
      <c r="N66" s="6">
        <v>4.5</v>
      </c>
      <c r="O66" s="20" t="s">
        <v>44</v>
      </c>
      <c r="P66" s="8" t="s">
        <v>350</v>
      </c>
      <c r="Q66" s="6"/>
      <c r="R66" s="36" t="s">
        <v>45</v>
      </c>
      <c r="S66" s="15"/>
      <c r="T66" s="6"/>
      <c r="U66" s="6"/>
      <c r="V66" s="6"/>
      <c r="W66" s="6"/>
    </row>
    <row r="67" spans="1:23" ht="17.25" thickBot="1" x14ac:dyDescent="0.3">
      <c r="A67" s="6">
        <v>66</v>
      </c>
      <c r="B67" s="7" t="s">
        <v>592</v>
      </c>
      <c r="C67" s="20" t="s">
        <v>351</v>
      </c>
      <c r="D67" s="65" t="s">
        <v>351</v>
      </c>
      <c r="E67" s="6">
        <v>1</v>
      </c>
      <c r="F67" s="6" t="s">
        <v>344</v>
      </c>
      <c r="G67" s="19" t="s">
        <v>352</v>
      </c>
      <c r="H67" s="50" t="s">
        <v>353</v>
      </c>
      <c r="I67" s="6" t="s">
        <v>192</v>
      </c>
      <c r="J67" s="6" t="s">
        <v>354</v>
      </c>
      <c r="K67" s="6" t="s">
        <v>22</v>
      </c>
      <c r="L67" s="6">
        <f>2025-M67</f>
        <v>1967</v>
      </c>
      <c r="M67" s="6">
        <v>58</v>
      </c>
      <c r="N67" s="6" t="s">
        <v>355</v>
      </c>
      <c r="O67" s="45" t="s">
        <v>44</v>
      </c>
      <c r="P67" s="46" t="s">
        <v>58</v>
      </c>
      <c r="Q67" s="13"/>
      <c r="R67" s="35" t="s">
        <v>38</v>
      </c>
      <c r="S67" s="22"/>
      <c r="T67" s="13"/>
      <c r="U67" s="13"/>
      <c r="V67" s="13"/>
      <c r="W67" s="6"/>
    </row>
    <row r="68" spans="1:23" x14ac:dyDescent="0.25">
      <c r="A68" s="6">
        <v>67</v>
      </c>
      <c r="B68" s="7" t="s">
        <v>592</v>
      </c>
      <c r="C68" s="20" t="s">
        <v>356</v>
      </c>
      <c r="D68" s="65" t="s">
        <v>356</v>
      </c>
      <c r="E68" s="6">
        <v>1</v>
      </c>
      <c r="F68" s="6" t="s">
        <v>344</v>
      </c>
      <c r="G68" s="19" t="s">
        <v>352</v>
      </c>
      <c r="H68" s="50" t="s">
        <v>357</v>
      </c>
      <c r="I68" s="6" t="s">
        <v>192</v>
      </c>
      <c r="J68" s="6" t="s">
        <v>358</v>
      </c>
      <c r="K68" s="6" t="s">
        <v>22</v>
      </c>
      <c r="L68" s="6">
        <f>2025-M68</f>
        <v>1975</v>
      </c>
      <c r="M68" s="6">
        <v>50</v>
      </c>
      <c r="N68" s="6" t="s">
        <v>359</v>
      </c>
      <c r="O68" s="20" t="s">
        <v>139</v>
      </c>
      <c r="P68" s="34" t="s">
        <v>98</v>
      </c>
      <c r="Q68" s="6"/>
      <c r="R68" s="36" t="s">
        <v>92</v>
      </c>
      <c r="S68" s="6"/>
      <c r="T68" s="6"/>
      <c r="U68" s="6"/>
      <c r="V68" s="6"/>
      <c r="W68" s="15"/>
    </row>
    <row r="69" spans="1:23" x14ac:dyDescent="0.25">
      <c r="A69" s="6">
        <v>68</v>
      </c>
      <c r="B69" s="7" t="s">
        <v>592</v>
      </c>
      <c r="C69" s="20" t="s">
        <v>361</v>
      </c>
      <c r="D69" s="65" t="s">
        <v>361</v>
      </c>
      <c r="E69" s="6">
        <v>1</v>
      </c>
      <c r="F69" s="12" t="s">
        <v>360</v>
      </c>
      <c r="G69" s="12" t="s">
        <v>362</v>
      </c>
      <c r="H69" s="55" t="s">
        <v>363</v>
      </c>
      <c r="I69" s="13" t="s">
        <v>21</v>
      </c>
      <c r="J69" s="13" t="s">
        <v>364</v>
      </c>
      <c r="K69" s="13" t="s">
        <v>22</v>
      </c>
      <c r="L69" s="13">
        <f t="shared" ref="L69:L70" si="5">2025-M69</f>
        <v>1962</v>
      </c>
      <c r="M69" s="13">
        <v>63</v>
      </c>
      <c r="N69" s="13" t="s">
        <v>308</v>
      </c>
      <c r="O69" s="13" t="s">
        <v>130</v>
      </c>
      <c r="P69" s="37" t="s">
        <v>140</v>
      </c>
      <c r="Q69" s="6"/>
      <c r="R69" s="36" t="s">
        <v>38</v>
      </c>
      <c r="S69" s="6"/>
      <c r="T69" s="6"/>
      <c r="U69" s="6"/>
      <c r="V69" s="6"/>
      <c r="W69" s="22"/>
    </row>
    <row r="70" spans="1:23" x14ac:dyDescent="0.25">
      <c r="A70" s="6">
        <v>69</v>
      </c>
      <c r="B70" s="7" t="s">
        <v>592</v>
      </c>
      <c r="C70" s="20" t="s">
        <v>365</v>
      </c>
      <c r="D70" s="65" t="s">
        <v>365</v>
      </c>
      <c r="E70" s="6">
        <v>1</v>
      </c>
      <c r="F70" s="10" t="s">
        <v>366</v>
      </c>
      <c r="G70" s="19" t="s">
        <v>367</v>
      </c>
      <c r="H70" s="50" t="s">
        <v>368</v>
      </c>
      <c r="I70" s="6" t="s">
        <v>192</v>
      </c>
      <c r="J70" s="6" t="s">
        <v>369</v>
      </c>
      <c r="K70" s="6" t="s">
        <v>25</v>
      </c>
      <c r="L70" s="6">
        <f t="shared" si="5"/>
        <v>1964</v>
      </c>
      <c r="M70" s="6">
        <v>61</v>
      </c>
      <c r="N70" s="6" t="s">
        <v>370</v>
      </c>
      <c r="O70" s="6" t="s">
        <v>52</v>
      </c>
      <c r="P70" t="s">
        <v>46</v>
      </c>
      <c r="Q70" s="6"/>
      <c r="R70" s="47" t="s">
        <v>92</v>
      </c>
      <c r="S70" s="6"/>
      <c r="T70" s="6"/>
      <c r="U70" s="6"/>
      <c r="V70" s="6"/>
      <c r="W70" s="15"/>
    </row>
    <row r="71" spans="1:23" x14ac:dyDescent="0.25">
      <c r="A71" s="6">
        <v>70</v>
      </c>
      <c r="B71" s="7" t="s">
        <v>592</v>
      </c>
      <c r="C71" s="20" t="s">
        <v>371</v>
      </c>
      <c r="D71" s="65" t="s">
        <v>371</v>
      </c>
      <c r="E71" s="6">
        <v>1</v>
      </c>
      <c r="F71" s="13" t="s">
        <v>367</v>
      </c>
      <c r="G71" s="25" t="s">
        <v>372</v>
      </c>
      <c r="H71" s="55" t="s">
        <v>373</v>
      </c>
      <c r="I71" s="13" t="s">
        <v>192</v>
      </c>
      <c r="J71" s="13" t="s">
        <v>374</v>
      </c>
      <c r="K71" s="13" t="s">
        <v>25</v>
      </c>
      <c r="L71" s="13">
        <f>2025-M71</f>
        <v>1957</v>
      </c>
      <c r="M71" s="13">
        <v>68</v>
      </c>
      <c r="N71" s="13" t="s">
        <v>375</v>
      </c>
      <c r="O71" s="13" t="s">
        <v>212</v>
      </c>
      <c r="P71" t="s">
        <v>58</v>
      </c>
      <c r="Q71" s="35"/>
      <c r="R71" s="48" t="s">
        <v>38</v>
      </c>
      <c r="S71" s="35"/>
      <c r="T71" s="35"/>
      <c r="U71" s="35"/>
      <c r="V71" s="35"/>
      <c r="W71" s="13"/>
    </row>
    <row r="72" spans="1:23" x14ac:dyDescent="0.25">
      <c r="A72" s="6">
        <v>71</v>
      </c>
      <c r="B72" s="7" t="s">
        <v>592</v>
      </c>
      <c r="C72" s="20" t="s">
        <v>376</v>
      </c>
      <c r="D72" s="65" t="s">
        <v>376</v>
      </c>
      <c r="E72" s="6">
        <v>1</v>
      </c>
      <c r="F72" s="10" t="s">
        <v>377</v>
      </c>
      <c r="G72" s="19" t="s">
        <v>378</v>
      </c>
      <c r="H72" s="50" t="s">
        <v>379</v>
      </c>
      <c r="I72" s="6" t="s">
        <v>192</v>
      </c>
      <c r="J72" s="6" t="s">
        <v>380</v>
      </c>
      <c r="K72" s="6" t="s">
        <v>22</v>
      </c>
      <c r="L72" s="6">
        <f t="shared" ref="L72:L73" si="6">2025-M72</f>
        <v>1963</v>
      </c>
      <c r="M72" s="6">
        <v>62</v>
      </c>
      <c r="N72" s="6">
        <v>3.9</v>
      </c>
      <c r="O72" s="6" t="s">
        <v>44</v>
      </c>
      <c r="P72" t="s">
        <v>44</v>
      </c>
      <c r="Q72" s="6"/>
      <c r="R72" s="6" t="s">
        <v>45</v>
      </c>
      <c r="S72" s="6"/>
      <c r="T72" s="6"/>
      <c r="U72" s="6"/>
      <c r="V72" s="6"/>
      <c r="W72" s="6"/>
    </row>
    <row r="73" spans="1:23" x14ac:dyDescent="0.25">
      <c r="A73" s="6">
        <v>72</v>
      </c>
      <c r="B73" s="7" t="s">
        <v>592</v>
      </c>
      <c r="C73" s="20" t="s">
        <v>381</v>
      </c>
      <c r="D73" s="65" t="s">
        <v>381</v>
      </c>
      <c r="E73" s="6">
        <v>1</v>
      </c>
      <c r="F73" s="19" t="s">
        <v>382</v>
      </c>
      <c r="G73" s="6"/>
      <c r="H73" s="50" t="s">
        <v>383</v>
      </c>
      <c r="I73" s="6" t="s">
        <v>192</v>
      </c>
      <c r="J73" s="6" t="s">
        <v>384</v>
      </c>
      <c r="K73" s="6" t="s">
        <v>22</v>
      </c>
      <c r="L73" s="6">
        <f t="shared" si="6"/>
        <v>1953</v>
      </c>
      <c r="M73" s="6">
        <v>72</v>
      </c>
      <c r="N73" s="6"/>
      <c r="O73" s="6" t="s">
        <v>162</v>
      </c>
      <c r="P73" t="s">
        <v>294</v>
      </c>
      <c r="Q73" s="6"/>
      <c r="R73" s="6" t="s">
        <v>31</v>
      </c>
      <c r="S73" s="6"/>
      <c r="T73" s="6"/>
      <c r="U73" s="6"/>
      <c r="V73" s="6"/>
      <c r="W73" s="6"/>
    </row>
    <row r="74" spans="1:23" x14ac:dyDescent="0.25">
      <c r="A74" s="6">
        <v>1</v>
      </c>
      <c r="B74" s="7" t="s">
        <v>593</v>
      </c>
      <c r="C74" s="6" t="s">
        <v>385</v>
      </c>
      <c r="D74" s="50" t="s">
        <v>385</v>
      </c>
      <c r="E74" s="6">
        <v>0</v>
      </c>
      <c r="F74" s="10" t="s">
        <v>386</v>
      </c>
      <c r="G74" s="19" t="s">
        <v>183</v>
      </c>
      <c r="H74" s="51" t="s">
        <v>387</v>
      </c>
      <c r="I74" s="10" t="s">
        <v>21</v>
      </c>
      <c r="J74" s="6" t="s">
        <v>388</v>
      </c>
      <c r="K74" s="6" t="s">
        <v>22</v>
      </c>
      <c r="L74" s="6">
        <v>1971</v>
      </c>
      <c r="M74" s="6">
        <f>2025-L74</f>
        <v>54</v>
      </c>
      <c r="N74" s="6">
        <v>4.5</v>
      </c>
      <c r="O74" s="6"/>
      <c r="P74" s="6"/>
      <c r="Q74" s="6"/>
      <c r="R74" s="6"/>
      <c r="S74" s="6"/>
      <c r="T74" s="6"/>
      <c r="U74" s="6"/>
      <c r="V74" s="6"/>
      <c r="W74" s="6"/>
    </row>
    <row r="75" spans="1:23" x14ac:dyDescent="0.25">
      <c r="A75" s="6">
        <v>2</v>
      </c>
      <c r="B75" s="7" t="s">
        <v>593</v>
      </c>
      <c r="C75" s="6" t="s">
        <v>389</v>
      </c>
      <c r="D75" s="50" t="s">
        <v>389</v>
      </c>
      <c r="E75" s="6">
        <v>0</v>
      </c>
      <c r="F75" s="10" t="s">
        <v>386</v>
      </c>
      <c r="G75" s="19" t="s">
        <v>183</v>
      </c>
      <c r="H75" s="51" t="s">
        <v>390</v>
      </c>
      <c r="I75" s="10" t="s">
        <v>21</v>
      </c>
      <c r="J75" s="6" t="s">
        <v>391</v>
      </c>
      <c r="K75" s="6" t="s">
        <v>25</v>
      </c>
      <c r="L75" s="6">
        <v>1962</v>
      </c>
      <c r="M75" s="6">
        <f t="shared" ref="M75:M76" si="7">2025-L75</f>
        <v>63</v>
      </c>
      <c r="N75" s="6">
        <v>5.4</v>
      </c>
      <c r="O75" s="6"/>
      <c r="P75" s="6"/>
      <c r="Q75" s="6"/>
      <c r="R75" s="6"/>
      <c r="S75" s="6"/>
      <c r="T75" s="6"/>
      <c r="U75" s="6"/>
      <c r="V75" s="6"/>
      <c r="W75" s="6" t="s">
        <v>392</v>
      </c>
    </row>
    <row r="76" spans="1:23" x14ac:dyDescent="0.25">
      <c r="A76" s="6">
        <v>3</v>
      </c>
      <c r="B76" s="7" t="s">
        <v>593</v>
      </c>
      <c r="C76" s="6" t="s">
        <v>393</v>
      </c>
      <c r="D76" s="50" t="s">
        <v>393</v>
      </c>
      <c r="E76" s="6">
        <v>0</v>
      </c>
      <c r="F76" s="10" t="s">
        <v>386</v>
      </c>
      <c r="G76" s="19" t="s">
        <v>183</v>
      </c>
      <c r="H76" s="51" t="s">
        <v>394</v>
      </c>
      <c r="I76" s="10" t="s">
        <v>21</v>
      </c>
      <c r="J76" s="6" t="s">
        <v>395</v>
      </c>
      <c r="K76" s="6" t="s">
        <v>22</v>
      </c>
      <c r="L76" s="6">
        <v>1988</v>
      </c>
      <c r="M76" s="6">
        <f t="shared" si="7"/>
        <v>37</v>
      </c>
      <c r="N76" s="6">
        <v>4.2</v>
      </c>
      <c r="O76" s="6"/>
      <c r="P76" s="6"/>
      <c r="Q76" s="6"/>
      <c r="R76" s="6"/>
      <c r="S76" s="6"/>
      <c r="T76" s="6"/>
      <c r="U76" s="6"/>
      <c r="V76" s="6"/>
      <c r="W76" s="6"/>
    </row>
    <row r="77" spans="1:23" x14ac:dyDescent="0.25">
      <c r="A77" s="6">
        <v>4</v>
      </c>
      <c r="B77" s="7" t="s">
        <v>593</v>
      </c>
      <c r="C77" s="6" t="s">
        <v>396</v>
      </c>
      <c r="D77" s="50" t="s">
        <v>396</v>
      </c>
      <c r="E77" s="6">
        <v>0</v>
      </c>
      <c r="F77" s="10" t="s">
        <v>397</v>
      </c>
      <c r="G77" s="19" t="s">
        <v>398</v>
      </c>
      <c r="H77" s="51" t="s">
        <v>399</v>
      </c>
      <c r="I77" s="10" t="s">
        <v>21</v>
      </c>
      <c r="J77" s="6" t="s">
        <v>400</v>
      </c>
      <c r="K77" s="6" t="s">
        <v>22</v>
      </c>
      <c r="L77" s="6">
        <f>2025-M77</f>
        <v>1962</v>
      </c>
      <c r="M77" s="6">
        <v>63</v>
      </c>
      <c r="N77" s="6">
        <v>4.4000000000000004</v>
      </c>
      <c r="O77" s="6"/>
      <c r="P77" s="6"/>
      <c r="Q77" s="6"/>
      <c r="R77" s="6"/>
      <c r="S77" s="6"/>
      <c r="T77" s="6"/>
      <c r="U77" s="6"/>
      <c r="V77" s="6"/>
      <c r="W77" s="38" t="s">
        <v>401</v>
      </c>
    </row>
    <row r="78" spans="1:23" x14ac:dyDescent="0.25">
      <c r="A78" s="6">
        <v>5</v>
      </c>
      <c r="B78" s="7" t="s">
        <v>593</v>
      </c>
      <c r="C78" s="6" t="s">
        <v>402</v>
      </c>
      <c r="D78" s="50" t="s">
        <v>402</v>
      </c>
      <c r="E78" s="6">
        <v>0</v>
      </c>
      <c r="F78" s="10" t="s">
        <v>397</v>
      </c>
      <c r="G78" s="19" t="s">
        <v>189</v>
      </c>
      <c r="H78" s="51" t="s">
        <v>403</v>
      </c>
      <c r="I78" s="10" t="s">
        <v>21</v>
      </c>
      <c r="J78" s="6" t="s">
        <v>404</v>
      </c>
      <c r="K78" s="6" t="s">
        <v>25</v>
      </c>
      <c r="L78" s="6">
        <v>1964</v>
      </c>
      <c r="M78" s="6">
        <f>2025-L78</f>
        <v>61</v>
      </c>
      <c r="N78" s="6">
        <v>4.5</v>
      </c>
      <c r="O78" s="6"/>
      <c r="P78" s="6"/>
      <c r="Q78" s="6"/>
      <c r="R78" s="6"/>
      <c r="S78" s="6"/>
      <c r="T78" s="6"/>
      <c r="U78" s="6"/>
      <c r="V78" s="6"/>
      <c r="W78" s="6"/>
    </row>
    <row r="79" spans="1:23" x14ac:dyDescent="0.25">
      <c r="A79" s="6">
        <v>6</v>
      </c>
      <c r="B79" s="7" t="s">
        <v>593</v>
      </c>
      <c r="C79" s="6" t="s">
        <v>405</v>
      </c>
      <c r="D79" s="50" t="s">
        <v>405</v>
      </c>
      <c r="E79" s="6">
        <v>0</v>
      </c>
      <c r="F79" s="10" t="s">
        <v>406</v>
      </c>
      <c r="G79" s="19" t="s">
        <v>189</v>
      </c>
      <c r="H79" s="51" t="s">
        <v>407</v>
      </c>
      <c r="I79" s="10" t="s">
        <v>21</v>
      </c>
      <c r="J79" s="6" t="s">
        <v>408</v>
      </c>
      <c r="K79" s="6" t="s">
        <v>22</v>
      </c>
      <c r="L79" s="6">
        <v>1959</v>
      </c>
      <c r="M79" s="6">
        <f t="shared" ref="M79:M81" si="8">2025-L79</f>
        <v>66</v>
      </c>
      <c r="N79" s="6">
        <v>3</v>
      </c>
      <c r="O79" s="6"/>
      <c r="P79" s="6"/>
      <c r="Q79" s="6"/>
      <c r="R79" s="6"/>
      <c r="S79" s="6"/>
      <c r="T79" s="6"/>
      <c r="U79" s="6"/>
      <c r="V79" s="6"/>
      <c r="W79" s="6" t="s">
        <v>409</v>
      </c>
    </row>
    <row r="80" spans="1:23" x14ac:dyDescent="0.25">
      <c r="A80" s="6">
        <v>7</v>
      </c>
      <c r="B80" s="7" t="s">
        <v>593</v>
      </c>
      <c r="C80" s="6" t="s">
        <v>410</v>
      </c>
      <c r="D80" s="50" t="s">
        <v>410</v>
      </c>
      <c r="E80" s="6">
        <v>0</v>
      </c>
      <c r="F80" s="10" t="s">
        <v>398</v>
      </c>
      <c r="G80" s="19" t="s">
        <v>189</v>
      </c>
      <c r="H80" s="51" t="s">
        <v>411</v>
      </c>
      <c r="I80" s="10" t="s">
        <v>21</v>
      </c>
      <c r="J80" s="6" t="s">
        <v>412</v>
      </c>
      <c r="K80" s="6" t="s">
        <v>25</v>
      </c>
      <c r="L80" s="6">
        <v>1977</v>
      </c>
      <c r="M80" s="6">
        <f t="shared" si="8"/>
        <v>48</v>
      </c>
      <c r="N80" s="6">
        <v>5</v>
      </c>
      <c r="O80" s="6"/>
      <c r="P80" s="6"/>
      <c r="Q80" s="6"/>
      <c r="R80" s="6"/>
      <c r="S80" s="6"/>
      <c r="T80" s="6"/>
      <c r="U80" s="6"/>
      <c r="V80" s="6"/>
      <c r="W80" s="6"/>
    </row>
    <row r="81" spans="1:23" x14ac:dyDescent="0.25">
      <c r="A81" s="6">
        <v>8</v>
      </c>
      <c r="B81" s="7" t="s">
        <v>593</v>
      </c>
      <c r="C81" s="6" t="s">
        <v>413</v>
      </c>
      <c r="D81" s="50" t="s">
        <v>413</v>
      </c>
      <c r="E81" s="6">
        <v>0</v>
      </c>
      <c r="F81" s="10" t="s">
        <v>398</v>
      </c>
      <c r="G81" s="19" t="s">
        <v>189</v>
      </c>
      <c r="H81" s="51" t="s">
        <v>414</v>
      </c>
      <c r="I81" s="10" t="s">
        <v>21</v>
      </c>
      <c r="J81" s="6" t="s">
        <v>415</v>
      </c>
      <c r="K81" s="6" t="s">
        <v>22</v>
      </c>
      <c r="L81" s="6">
        <v>1985</v>
      </c>
      <c r="M81" s="6">
        <f t="shared" si="8"/>
        <v>40</v>
      </c>
      <c r="N81" s="6">
        <v>4</v>
      </c>
      <c r="O81" s="6"/>
      <c r="P81" s="6"/>
      <c r="Q81" s="6"/>
      <c r="R81" s="6"/>
      <c r="S81" s="6"/>
      <c r="T81" s="6"/>
      <c r="U81" s="6"/>
      <c r="V81" s="6"/>
      <c r="W81" s="6" t="s">
        <v>416</v>
      </c>
    </row>
    <row r="82" spans="1:23" x14ac:dyDescent="0.25">
      <c r="A82" s="6">
        <v>9</v>
      </c>
      <c r="B82" s="7" t="s">
        <v>593</v>
      </c>
      <c r="C82" s="6" t="s">
        <v>417</v>
      </c>
      <c r="D82" s="50" t="s">
        <v>417</v>
      </c>
      <c r="E82" s="6">
        <v>0</v>
      </c>
      <c r="F82" s="19" t="s">
        <v>189</v>
      </c>
      <c r="G82" s="19" t="s">
        <v>190</v>
      </c>
      <c r="H82" s="51" t="s">
        <v>418</v>
      </c>
      <c r="I82" s="10" t="s">
        <v>21</v>
      </c>
      <c r="J82" s="6" t="s">
        <v>419</v>
      </c>
      <c r="K82" s="6" t="s">
        <v>22</v>
      </c>
      <c r="L82" s="6">
        <f>2025-M82</f>
        <v>1981</v>
      </c>
      <c r="M82" s="6">
        <v>44</v>
      </c>
      <c r="N82" s="6">
        <v>3.8</v>
      </c>
      <c r="O82" s="6"/>
      <c r="P82" s="6"/>
      <c r="Q82" s="6"/>
      <c r="R82" s="6"/>
      <c r="S82" s="6"/>
      <c r="T82" s="6"/>
      <c r="U82" s="6"/>
      <c r="V82" s="6"/>
      <c r="W82" s="6"/>
    </row>
    <row r="83" spans="1:23" x14ac:dyDescent="0.25">
      <c r="A83" s="6">
        <v>11</v>
      </c>
      <c r="B83" s="7" t="s">
        <v>593</v>
      </c>
      <c r="C83" s="6" t="s">
        <v>420</v>
      </c>
      <c r="D83" s="50" t="s">
        <v>420</v>
      </c>
      <c r="E83" s="6">
        <v>0</v>
      </c>
      <c r="F83" s="10" t="s">
        <v>398</v>
      </c>
      <c r="G83" s="19" t="s">
        <v>190</v>
      </c>
      <c r="H83" s="51" t="s">
        <v>421</v>
      </c>
      <c r="I83" s="10" t="s">
        <v>21</v>
      </c>
      <c r="J83" s="6" t="s">
        <v>422</v>
      </c>
      <c r="K83" s="6" t="s">
        <v>22</v>
      </c>
      <c r="L83" s="6">
        <f t="shared" ref="L83:L111" si="9">2025-M83</f>
        <v>1972</v>
      </c>
      <c r="M83" s="6">
        <v>53</v>
      </c>
      <c r="N83" s="6">
        <v>3.8</v>
      </c>
      <c r="O83" s="6"/>
      <c r="P83" s="6"/>
      <c r="Q83" s="6"/>
      <c r="R83" s="6"/>
      <c r="S83" s="6"/>
      <c r="T83" s="6"/>
      <c r="U83" s="6"/>
      <c r="V83" s="6"/>
      <c r="W83" s="6"/>
    </row>
    <row r="84" spans="1:23" x14ac:dyDescent="0.25">
      <c r="A84" s="6">
        <v>12</v>
      </c>
      <c r="B84" s="7" t="s">
        <v>593</v>
      </c>
      <c r="C84" s="6" t="s">
        <v>423</v>
      </c>
      <c r="D84" s="50" t="s">
        <v>423</v>
      </c>
      <c r="E84" s="6">
        <v>0</v>
      </c>
      <c r="F84" s="19" t="s">
        <v>189</v>
      </c>
      <c r="G84" s="19" t="s">
        <v>190</v>
      </c>
      <c r="H84" s="51" t="s">
        <v>424</v>
      </c>
      <c r="I84" s="10" t="s">
        <v>21</v>
      </c>
      <c r="J84" s="6" t="s">
        <v>425</v>
      </c>
      <c r="K84" s="6" t="s">
        <v>22</v>
      </c>
      <c r="L84" s="6">
        <f t="shared" si="9"/>
        <v>1965</v>
      </c>
      <c r="M84" s="6">
        <v>60</v>
      </c>
      <c r="N84" s="6">
        <v>4.5</v>
      </c>
      <c r="O84" s="6"/>
      <c r="P84" s="6"/>
      <c r="Q84" s="6"/>
      <c r="R84" s="6"/>
      <c r="S84" s="6"/>
      <c r="T84" s="6"/>
      <c r="U84" s="6"/>
      <c r="V84" s="6"/>
      <c r="W84" s="6"/>
    </row>
    <row r="85" spans="1:23" x14ac:dyDescent="0.25">
      <c r="A85" s="6">
        <v>13</v>
      </c>
      <c r="B85" s="7" t="s">
        <v>593</v>
      </c>
      <c r="C85" s="6" t="s">
        <v>426</v>
      </c>
      <c r="D85" s="50" t="s">
        <v>426</v>
      </c>
      <c r="E85" s="6">
        <v>0</v>
      </c>
      <c r="F85" s="19" t="s">
        <v>189</v>
      </c>
      <c r="G85" s="19" t="s">
        <v>190</v>
      </c>
      <c r="H85" s="51" t="s">
        <v>427</v>
      </c>
      <c r="I85" s="10" t="s">
        <v>21</v>
      </c>
      <c r="J85" s="6" t="s">
        <v>428</v>
      </c>
      <c r="K85" s="6" t="s">
        <v>22</v>
      </c>
      <c r="L85" s="6">
        <f t="shared" si="9"/>
        <v>1958</v>
      </c>
      <c r="M85" s="6">
        <v>67</v>
      </c>
      <c r="N85" s="6">
        <v>5</v>
      </c>
      <c r="O85" s="6"/>
      <c r="P85" s="6"/>
      <c r="Q85" s="6"/>
      <c r="R85" s="6"/>
      <c r="S85" s="6"/>
      <c r="T85" s="6"/>
      <c r="U85" s="6"/>
      <c r="V85" s="6"/>
      <c r="W85" s="6"/>
    </row>
    <row r="86" spans="1:23" x14ac:dyDescent="0.25">
      <c r="A86" s="6">
        <v>15</v>
      </c>
      <c r="B86" s="7" t="s">
        <v>593</v>
      </c>
      <c r="C86" s="6" t="s">
        <v>429</v>
      </c>
      <c r="D86" s="50" t="s">
        <v>429</v>
      </c>
      <c r="E86" s="6">
        <v>0</v>
      </c>
      <c r="F86" s="19" t="s">
        <v>190</v>
      </c>
      <c r="G86" s="19" t="s">
        <v>196</v>
      </c>
      <c r="H86" s="51" t="s">
        <v>430</v>
      </c>
      <c r="I86" s="10" t="s">
        <v>21</v>
      </c>
      <c r="J86" s="6" t="s">
        <v>431</v>
      </c>
      <c r="K86" s="6" t="s">
        <v>22</v>
      </c>
      <c r="L86" s="6">
        <f t="shared" si="9"/>
        <v>1966</v>
      </c>
      <c r="M86" s="6">
        <v>59</v>
      </c>
      <c r="N86" s="6">
        <v>4</v>
      </c>
      <c r="O86" s="6"/>
      <c r="P86" s="6"/>
      <c r="Q86" s="6"/>
      <c r="R86" s="6"/>
      <c r="S86" s="6"/>
      <c r="T86" s="6"/>
      <c r="U86" s="6"/>
      <c r="V86" s="6"/>
      <c r="W86" s="6"/>
    </row>
    <row r="87" spans="1:23" x14ac:dyDescent="0.25">
      <c r="A87" s="6">
        <v>16</v>
      </c>
      <c r="B87" s="7" t="s">
        <v>593</v>
      </c>
      <c r="C87" s="6" t="s">
        <v>432</v>
      </c>
      <c r="D87" s="50" t="s">
        <v>432</v>
      </c>
      <c r="E87" s="6">
        <v>0</v>
      </c>
      <c r="F87" s="19" t="s">
        <v>190</v>
      </c>
      <c r="G87" s="19" t="s">
        <v>196</v>
      </c>
      <c r="H87" s="51" t="s">
        <v>433</v>
      </c>
      <c r="I87" s="10" t="s">
        <v>21</v>
      </c>
      <c r="J87" s="6" t="s">
        <v>434</v>
      </c>
      <c r="K87" s="6" t="s">
        <v>25</v>
      </c>
      <c r="L87" s="6">
        <f t="shared" si="9"/>
        <v>1983</v>
      </c>
      <c r="M87" s="6">
        <v>42</v>
      </c>
      <c r="N87" s="6">
        <v>4.8</v>
      </c>
      <c r="O87" s="6"/>
      <c r="P87" s="6"/>
      <c r="Q87" s="6"/>
      <c r="R87" s="6"/>
      <c r="S87" s="6"/>
      <c r="T87" s="6"/>
      <c r="U87" s="6"/>
      <c r="V87" s="6"/>
      <c r="W87" s="6"/>
    </row>
    <row r="88" spans="1:23" x14ac:dyDescent="0.25">
      <c r="A88" s="6">
        <v>17</v>
      </c>
      <c r="B88" s="7" t="s">
        <v>593</v>
      </c>
      <c r="C88" s="6" t="s">
        <v>435</v>
      </c>
      <c r="D88" s="50" t="s">
        <v>435</v>
      </c>
      <c r="E88" s="6">
        <v>0</v>
      </c>
      <c r="F88" s="19" t="s">
        <v>196</v>
      </c>
      <c r="G88" s="19" t="s">
        <v>436</v>
      </c>
      <c r="H88" s="51" t="s">
        <v>437</v>
      </c>
      <c r="I88" s="10" t="s">
        <v>21</v>
      </c>
      <c r="J88" s="6" t="s">
        <v>438</v>
      </c>
      <c r="K88" s="6" t="s">
        <v>25</v>
      </c>
      <c r="L88" s="6">
        <f t="shared" si="9"/>
        <v>1970</v>
      </c>
      <c r="M88" s="6">
        <v>55</v>
      </c>
      <c r="N88" s="6">
        <v>4.7</v>
      </c>
      <c r="O88" s="6"/>
      <c r="P88" s="6"/>
      <c r="Q88" s="6"/>
      <c r="R88" s="6"/>
      <c r="S88" s="6"/>
      <c r="T88" s="6"/>
      <c r="U88" s="6"/>
      <c r="V88" s="6"/>
      <c r="W88" s="6" t="s">
        <v>416</v>
      </c>
    </row>
    <row r="89" spans="1:23" x14ac:dyDescent="0.25">
      <c r="A89" s="6">
        <v>18</v>
      </c>
      <c r="B89" s="7" t="s">
        <v>593</v>
      </c>
      <c r="C89" s="6" t="s">
        <v>439</v>
      </c>
      <c r="D89" s="50" t="s">
        <v>439</v>
      </c>
      <c r="E89" s="6">
        <v>0</v>
      </c>
      <c r="F89" s="19" t="s">
        <v>196</v>
      </c>
      <c r="G89" s="19" t="s">
        <v>436</v>
      </c>
      <c r="H89" s="51" t="s">
        <v>440</v>
      </c>
      <c r="I89" s="10" t="s">
        <v>21</v>
      </c>
      <c r="J89" s="6" t="s">
        <v>441</v>
      </c>
      <c r="K89" s="6" t="s">
        <v>25</v>
      </c>
      <c r="L89" s="6">
        <f t="shared" si="9"/>
        <v>1974</v>
      </c>
      <c r="M89" s="6">
        <v>51</v>
      </c>
      <c r="N89" s="6">
        <v>4.7</v>
      </c>
      <c r="O89" s="6"/>
      <c r="P89" s="6"/>
      <c r="Q89" s="6"/>
      <c r="R89" s="6"/>
      <c r="S89" s="6"/>
      <c r="T89" s="6"/>
      <c r="U89" s="6"/>
      <c r="V89" s="6"/>
      <c r="W89" s="6"/>
    </row>
    <row r="90" spans="1:23" x14ac:dyDescent="0.25">
      <c r="A90" s="6">
        <v>19</v>
      </c>
      <c r="B90" s="7" t="s">
        <v>593</v>
      </c>
      <c r="C90" s="6" t="s">
        <v>442</v>
      </c>
      <c r="D90" s="50" t="s">
        <v>442</v>
      </c>
      <c r="E90" s="6">
        <v>0</v>
      </c>
      <c r="F90" s="19" t="s">
        <v>436</v>
      </c>
      <c r="G90" s="19" t="s">
        <v>197</v>
      </c>
      <c r="H90" s="51" t="s">
        <v>443</v>
      </c>
      <c r="I90" s="10" t="s">
        <v>21</v>
      </c>
      <c r="J90" s="6" t="s">
        <v>444</v>
      </c>
      <c r="K90" s="6" t="s">
        <v>25</v>
      </c>
      <c r="L90" s="6">
        <f t="shared" si="9"/>
        <v>1960</v>
      </c>
      <c r="M90" s="6">
        <v>65</v>
      </c>
      <c r="N90" s="6">
        <v>3</v>
      </c>
      <c r="O90" s="6"/>
      <c r="P90" s="6"/>
      <c r="Q90" s="6"/>
      <c r="R90" s="6"/>
      <c r="S90" s="6"/>
      <c r="T90" s="6"/>
      <c r="U90" s="6"/>
      <c r="V90" s="6"/>
      <c r="W90" s="6"/>
    </row>
    <row r="91" spans="1:23" x14ac:dyDescent="0.25">
      <c r="A91" s="6">
        <v>21</v>
      </c>
      <c r="B91" s="7" t="s">
        <v>593</v>
      </c>
      <c r="C91" s="6" t="s">
        <v>445</v>
      </c>
      <c r="D91" s="50" t="s">
        <v>445</v>
      </c>
      <c r="E91" s="6">
        <v>0</v>
      </c>
      <c r="F91" s="19" t="s">
        <v>436</v>
      </c>
      <c r="G91" s="19" t="s">
        <v>197</v>
      </c>
      <c r="H91" s="51" t="s">
        <v>446</v>
      </c>
      <c r="I91" s="10" t="s">
        <v>21</v>
      </c>
      <c r="J91" s="6" t="s">
        <v>447</v>
      </c>
      <c r="K91" s="6" t="s">
        <v>25</v>
      </c>
      <c r="L91" s="6">
        <f t="shared" si="9"/>
        <v>1980</v>
      </c>
      <c r="M91" s="6">
        <v>45</v>
      </c>
      <c r="N91" s="6">
        <v>4.9000000000000004</v>
      </c>
      <c r="O91" s="6"/>
      <c r="P91" s="6"/>
      <c r="Q91" s="6"/>
      <c r="R91" s="6"/>
      <c r="S91" s="6"/>
      <c r="T91" s="6"/>
      <c r="U91" s="6"/>
      <c r="V91" s="6"/>
      <c r="W91" s="6"/>
    </row>
    <row r="92" spans="1:23" x14ac:dyDescent="0.25">
      <c r="A92" s="6">
        <v>22</v>
      </c>
      <c r="B92" s="7" t="s">
        <v>593</v>
      </c>
      <c r="C92" s="13" t="s">
        <v>448</v>
      </c>
      <c r="D92" s="55" t="s">
        <v>448</v>
      </c>
      <c r="E92" s="6">
        <v>0</v>
      </c>
      <c r="F92" s="25" t="s">
        <v>197</v>
      </c>
      <c r="G92" s="25" t="s">
        <v>198</v>
      </c>
      <c r="H92" s="51" t="s">
        <v>449</v>
      </c>
      <c r="I92" s="10" t="s">
        <v>21</v>
      </c>
      <c r="J92" s="13" t="s">
        <v>450</v>
      </c>
      <c r="K92" s="28" t="s">
        <v>22</v>
      </c>
      <c r="L92" s="13">
        <f t="shared" si="9"/>
        <v>1971</v>
      </c>
      <c r="M92" s="22">
        <v>54</v>
      </c>
      <c r="N92" s="13">
        <v>4.2</v>
      </c>
      <c r="O92" s="13"/>
      <c r="P92" s="13"/>
      <c r="Q92" s="13"/>
      <c r="R92" s="13"/>
      <c r="S92" s="13"/>
      <c r="T92" s="13"/>
      <c r="U92" s="13"/>
      <c r="V92" s="13"/>
      <c r="W92" s="13" t="s">
        <v>451</v>
      </c>
    </row>
    <row r="93" spans="1:23" x14ac:dyDescent="0.25">
      <c r="A93" s="6">
        <v>23</v>
      </c>
      <c r="B93" s="7" t="s">
        <v>593</v>
      </c>
      <c r="C93" s="24" t="s">
        <v>452</v>
      </c>
      <c r="D93" s="64" t="s">
        <v>452</v>
      </c>
      <c r="E93" s="6">
        <v>0</v>
      </c>
      <c r="F93" s="25" t="s">
        <v>198</v>
      </c>
      <c r="G93" s="25" t="s">
        <v>204</v>
      </c>
      <c r="H93" s="51" t="s">
        <v>453</v>
      </c>
      <c r="I93" s="10" t="s">
        <v>21</v>
      </c>
      <c r="J93" s="24" t="s">
        <v>454</v>
      </c>
      <c r="K93" s="24" t="s">
        <v>22</v>
      </c>
      <c r="L93" s="24">
        <f t="shared" si="9"/>
        <v>1982</v>
      </c>
      <c r="M93" s="24">
        <v>43</v>
      </c>
      <c r="N93" s="24">
        <v>2.5</v>
      </c>
      <c r="O93" s="24"/>
      <c r="P93" s="24"/>
      <c r="Q93" s="24"/>
      <c r="R93" s="24"/>
      <c r="S93" s="24"/>
      <c r="T93" s="24"/>
      <c r="U93" s="24"/>
      <c r="V93" s="24"/>
      <c r="W93" s="24" t="s">
        <v>156</v>
      </c>
    </row>
    <row r="94" spans="1:23" x14ac:dyDescent="0.25">
      <c r="A94" s="6">
        <v>24</v>
      </c>
      <c r="B94" s="7" t="s">
        <v>593</v>
      </c>
      <c r="C94" s="24" t="s">
        <v>455</v>
      </c>
      <c r="D94" s="64" t="s">
        <v>455</v>
      </c>
      <c r="E94" s="6">
        <v>0</v>
      </c>
      <c r="F94" s="25" t="s">
        <v>198</v>
      </c>
      <c r="G94" s="25" t="s">
        <v>204</v>
      </c>
      <c r="H94" s="51" t="s">
        <v>456</v>
      </c>
      <c r="I94" s="10" t="s">
        <v>21</v>
      </c>
      <c r="J94" s="24" t="s">
        <v>457</v>
      </c>
      <c r="K94" s="24" t="s">
        <v>22</v>
      </c>
      <c r="L94" s="24">
        <f t="shared" si="9"/>
        <v>1987</v>
      </c>
      <c r="M94" s="24">
        <v>38</v>
      </c>
      <c r="N94" s="24">
        <v>4</v>
      </c>
      <c r="O94" s="24"/>
      <c r="P94" s="24"/>
      <c r="Q94" s="24"/>
      <c r="R94" s="24"/>
      <c r="S94" s="24"/>
      <c r="T94" s="24"/>
      <c r="U94" s="24"/>
      <c r="V94" s="24"/>
      <c r="W94" s="24"/>
    </row>
    <row r="95" spans="1:23" x14ac:dyDescent="0.25">
      <c r="A95" s="6">
        <v>25</v>
      </c>
      <c r="B95" s="7" t="s">
        <v>593</v>
      </c>
      <c r="C95" s="24" t="s">
        <v>458</v>
      </c>
      <c r="D95" s="64" t="s">
        <v>458</v>
      </c>
      <c r="E95" s="6">
        <v>0</v>
      </c>
      <c r="F95" s="25" t="s">
        <v>198</v>
      </c>
      <c r="G95" s="25" t="s">
        <v>204</v>
      </c>
      <c r="H95" s="51" t="s">
        <v>459</v>
      </c>
      <c r="I95" s="10" t="s">
        <v>21</v>
      </c>
      <c r="J95" s="24" t="s">
        <v>460</v>
      </c>
      <c r="K95" s="24" t="s">
        <v>25</v>
      </c>
      <c r="L95" s="24">
        <f t="shared" si="9"/>
        <v>1962</v>
      </c>
      <c r="M95" s="24">
        <v>63</v>
      </c>
      <c r="N95" s="24">
        <v>4.5</v>
      </c>
      <c r="O95" s="24"/>
      <c r="P95" s="24"/>
      <c r="Q95" s="24"/>
      <c r="R95" s="24"/>
      <c r="S95" s="24"/>
      <c r="T95" s="24"/>
      <c r="U95" s="24"/>
      <c r="V95" s="24"/>
      <c r="W95" s="24"/>
    </row>
    <row r="96" spans="1:23" x14ac:dyDescent="0.25">
      <c r="A96" s="6">
        <v>26</v>
      </c>
      <c r="B96" s="7" t="s">
        <v>593</v>
      </c>
      <c r="C96" s="24" t="s">
        <v>461</v>
      </c>
      <c r="D96" s="64" t="s">
        <v>461</v>
      </c>
      <c r="E96" s="6">
        <v>0</v>
      </c>
      <c r="F96" s="25" t="s">
        <v>198</v>
      </c>
      <c r="G96" s="25" t="s">
        <v>204</v>
      </c>
      <c r="H96" s="51" t="s">
        <v>462</v>
      </c>
      <c r="I96" s="10" t="s">
        <v>21</v>
      </c>
      <c r="J96" s="24" t="s">
        <v>463</v>
      </c>
      <c r="K96" s="24" t="s">
        <v>25</v>
      </c>
      <c r="L96" s="24">
        <f t="shared" si="9"/>
        <v>1967</v>
      </c>
      <c r="M96" s="24">
        <v>58</v>
      </c>
      <c r="N96" s="24">
        <v>4.5</v>
      </c>
      <c r="O96" s="24"/>
      <c r="P96" s="24"/>
      <c r="Q96" s="24"/>
      <c r="R96" s="24"/>
      <c r="S96" s="24"/>
      <c r="T96" s="24"/>
      <c r="U96" s="24"/>
      <c r="V96" s="24"/>
      <c r="W96" s="24"/>
    </row>
    <row r="97" spans="1:23" x14ac:dyDescent="0.25">
      <c r="A97" s="6">
        <v>27</v>
      </c>
      <c r="B97" s="7" t="s">
        <v>593</v>
      </c>
      <c r="C97" s="39" t="s">
        <v>464</v>
      </c>
      <c r="D97" s="67" t="s">
        <v>464</v>
      </c>
      <c r="E97" s="6">
        <v>0</v>
      </c>
      <c r="F97" s="40" t="s">
        <v>197</v>
      </c>
      <c r="G97" s="40" t="s">
        <v>204</v>
      </c>
      <c r="H97" s="51" t="s">
        <v>465</v>
      </c>
      <c r="I97" s="10" t="s">
        <v>21</v>
      </c>
      <c r="J97" s="39" t="s">
        <v>466</v>
      </c>
      <c r="K97" s="39" t="s">
        <v>25</v>
      </c>
      <c r="L97" s="39">
        <f t="shared" si="9"/>
        <v>1961</v>
      </c>
      <c r="M97" s="39">
        <v>64</v>
      </c>
      <c r="N97" s="39">
        <v>4.7</v>
      </c>
      <c r="O97" s="39"/>
      <c r="P97" s="39"/>
      <c r="Q97" s="39"/>
      <c r="R97" s="39"/>
      <c r="S97" s="39"/>
      <c r="T97" s="39"/>
      <c r="U97" s="39"/>
      <c r="V97" s="39"/>
      <c r="W97" s="39"/>
    </row>
    <row r="98" spans="1:23" x14ac:dyDescent="0.25">
      <c r="A98" s="6">
        <v>28</v>
      </c>
      <c r="B98" s="7" t="s">
        <v>593</v>
      </c>
      <c r="C98" s="6" t="s">
        <v>467</v>
      </c>
      <c r="D98" s="50" t="s">
        <v>467</v>
      </c>
      <c r="E98" s="6">
        <v>0</v>
      </c>
      <c r="F98" s="19" t="s">
        <v>204</v>
      </c>
      <c r="G98" s="19" t="s">
        <v>209</v>
      </c>
      <c r="H98" s="51" t="s">
        <v>468</v>
      </c>
      <c r="I98" s="10" t="s">
        <v>21</v>
      </c>
      <c r="J98" s="6" t="s">
        <v>469</v>
      </c>
      <c r="K98" s="6" t="s">
        <v>22</v>
      </c>
      <c r="L98" s="39">
        <f t="shared" si="9"/>
        <v>1970</v>
      </c>
      <c r="M98" s="6">
        <v>55</v>
      </c>
      <c r="N98" s="6">
        <v>4.7</v>
      </c>
      <c r="O98" s="6"/>
      <c r="P98" s="6"/>
      <c r="Q98" s="6"/>
      <c r="R98" s="6"/>
      <c r="S98" s="6"/>
      <c r="T98" s="6"/>
      <c r="U98" s="6"/>
      <c r="V98" s="6"/>
      <c r="W98" s="6"/>
    </row>
    <row r="99" spans="1:23" x14ac:dyDescent="0.25">
      <c r="A99" s="6">
        <v>29</v>
      </c>
      <c r="B99" s="7" t="s">
        <v>593</v>
      </c>
      <c r="C99" s="6" t="s">
        <v>470</v>
      </c>
      <c r="D99" s="50" t="s">
        <v>470</v>
      </c>
      <c r="E99" s="6">
        <v>0</v>
      </c>
      <c r="F99" s="19" t="s">
        <v>204</v>
      </c>
      <c r="G99" s="19" t="s">
        <v>209</v>
      </c>
      <c r="H99" s="51" t="s">
        <v>471</v>
      </c>
      <c r="I99" s="10" t="s">
        <v>21</v>
      </c>
      <c r="J99" s="6" t="s">
        <v>472</v>
      </c>
      <c r="K99" s="6" t="s">
        <v>25</v>
      </c>
      <c r="L99" s="39">
        <f t="shared" si="9"/>
        <v>1977</v>
      </c>
      <c r="M99" s="6">
        <v>48</v>
      </c>
      <c r="N99" s="6">
        <v>4.7</v>
      </c>
      <c r="O99" s="6"/>
      <c r="P99" s="6"/>
      <c r="Q99" s="6"/>
      <c r="R99" s="6"/>
      <c r="S99" s="6"/>
      <c r="T99" s="6"/>
      <c r="U99" s="6"/>
      <c r="V99" s="6"/>
      <c r="W99" s="6"/>
    </row>
    <row r="100" spans="1:23" x14ac:dyDescent="0.25">
      <c r="A100" s="6">
        <v>30</v>
      </c>
      <c r="B100" s="7" t="s">
        <v>593</v>
      </c>
      <c r="C100" s="6" t="s">
        <v>473</v>
      </c>
      <c r="D100" s="50" t="s">
        <v>473</v>
      </c>
      <c r="E100" s="6">
        <v>0</v>
      </c>
      <c r="F100" s="19" t="s">
        <v>209</v>
      </c>
      <c r="G100" s="19" t="s">
        <v>213</v>
      </c>
      <c r="H100" s="51" t="s">
        <v>474</v>
      </c>
      <c r="I100" s="10" t="s">
        <v>21</v>
      </c>
      <c r="J100" s="6" t="s">
        <v>475</v>
      </c>
      <c r="K100" s="6" t="s">
        <v>25</v>
      </c>
      <c r="L100" s="6">
        <f t="shared" si="9"/>
        <v>1957</v>
      </c>
      <c r="M100" s="6">
        <v>68</v>
      </c>
      <c r="N100" s="6">
        <v>5.8</v>
      </c>
      <c r="O100" s="6"/>
      <c r="P100" s="6"/>
      <c r="Q100" s="6"/>
      <c r="R100" s="6"/>
      <c r="S100" s="6"/>
      <c r="T100" s="6"/>
      <c r="U100" s="6"/>
      <c r="V100" s="6"/>
      <c r="W100" s="6"/>
    </row>
    <row r="101" spans="1:23" x14ac:dyDescent="0.25">
      <c r="A101" s="6">
        <v>31</v>
      </c>
      <c r="B101" s="7" t="s">
        <v>593</v>
      </c>
      <c r="C101" s="6" t="s">
        <v>476</v>
      </c>
      <c r="D101" s="50" t="s">
        <v>476</v>
      </c>
      <c r="E101" s="6">
        <v>0</v>
      </c>
      <c r="F101" s="19" t="s">
        <v>209</v>
      </c>
      <c r="G101" s="19" t="s">
        <v>213</v>
      </c>
      <c r="H101" s="51" t="s">
        <v>477</v>
      </c>
      <c r="I101" s="10" t="s">
        <v>21</v>
      </c>
      <c r="J101" s="6" t="s">
        <v>478</v>
      </c>
      <c r="K101" s="6" t="s">
        <v>22</v>
      </c>
      <c r="L101" s="6">
        <f t="shared" si="9"/>
        <v>1976</v>
      </c>
      <c r="M101" s="6">
        <v>49</v>
      </c>
      <c r="N101" s="6">
        <v>4.5999999999999996</v>
      </c>
      <c r="O101" s="6"/>
      <c r="P101" s="6"/>
      <c r="Q101" s="6"/>
      <c r="R101" s="6"/>
      <c r="S101" s="6"/>
      <c r="T101" s="6"/>
      <c r="U101" s="6"/>
      <c r="V101" s="6"/>
      <c r="W101" s="6" t="s">
        <v>416</v>
      </c>
    </row>
    <row r="102" spans="1:23" x14ac:dyDescent="0.25">
      <c r="A102" s="6">
        <v>32</v>
      </c>
      <c r="B102" s="7" t="s">
        <v>593</v>
      </c>
      <c r="C102" s="6" t="s">
        <v>479</v>
      </c>
      <c r="D102" s="50" t="s">
        <v>479</v>
      </c>
      <c r="E102" s="6">
        <v>0</v>
      </c>
      <c r="F102" s="19" t="s">
        <v>209</v>
      </c>
      <c r="G102" s="19" t="s">
        <v>213</v>
      </c>
      <c r="H102" s="54" t="s">
        <v>480</v>
      </c>
      <c r="I102" s="19" t="s">
        <v>21</v>
      </c>
      <c r="J102" s="6" t="s">
        <v>481</v>
      </c>
      <c r="K102" s="6" t="s">
        <v>22</v>
      </c>
      <c r="L102" s="6">
        <f t="shared" si="9"/>
        <v>1971</v>
      </c>
      <c r="M102" s="6">
        <v>54</v>
      </c>
      <c r="N102" s="6">
        <v>4.2</v>
      </c>
      <c r="O102" s="6"/>
      <c r="P102" s="6"/>
      <c r="Q102" s="6"/>
      <c r="R102" s="6"/>
      <c r="S102" s="6"/>
      <c r="T102" s="6"/>
      <c r="U102" s="6"/>
      <c r="V102" s="6"/>
      <c r="W102" s="6"/>
    </row>
    <row r="103" spans="1:23" x14ac:dyDescent="0.25">
      <c r="A103" s="6">
        <v>33</v>
      </c>
      <c r="B103" s="7" t="s">
        <v>593</v>
      </c>
      <c r="C103" s="6" t="s">
        <v>482</v>
      </c>
      <c r="D103" s="50" t="s">
        <v>482</v>
      </c>
      <c r="E103" s="6">
        <v>0</v>
      </c>
      <c r="F103" s="19" t="s">
        <v>209</v>
      </c>
      <c r="G103" s="19" t="s">
        <v>213</v>
      </c>
      <c r="H103" s="54" t="s">
        <v>483</v>
      </c>
      <c r="I103" s="19" t="s">
        <v>21</v>
      </c>
      <c r="J103" s="6" t="s">
        <v>484</v>
      </c>
      <c r="K103" s="6" t="s">
        <v>25</v>
      </c>
      <c r="L103" s="6">
        <f t="shared" si="9"/>
        <v>1965</v>
      </c>
      <c r="M103" s="6">
        <v>60</v>
      </c>
      <c r="N103" s="6">
        <v>4.9000000000000004</v>
      </c>
      <c r="O103" s="6"/>
      <c r="P103" s="6"/>
      <c r="Q103" s="6"/>
      <c r="R103" s="6"/>
      <c r="S103" s="6"/>
      <c r="T103" s="6"/>
      <c r="U103" s="6"/>
      <c r="V103" s="6"/>
      <c r="W103" s="6" t="s">
        <v>485</v>
      </c>
    </row>
    <row r="104" spans="1:23" x14ac:dyDescent="0.25">
      <c r="A104" s="6">
        <v>34</v>
      </c>
      <c r="B104" s="7" t="s">
        <v>593</v>
      </c>
      <c r="C104" s="6" t="s">
        <v>486</v>
      </c>
      <c r="D104" s="50" t="s">
        <v>486</v>
      </c>
      <c r="E104" s="6">
        <v>0</v>
      </c>
      <c r="F104" s="19" t="s">
        <v>209</v>
      </c>
      <c r="G104" s="19" t="s">
        <v>213</v>
      </c>
      <c r="H104" s="54" t="s">
        <v>487</v>
      </c>
      <c r="I104" s="19" t="s">
        <v>21</v>
      </c>
      <c r="J104" s="6" t="s">
        <v>488</v>
      </c>
      <c r="K104" s="6" t="s">
        <v>25</v>
      </c>
      <c r="L104" s="6">
        <f t="shared" si="9"/>
        <v>1964</v>
      </c>
      <c r="M104" s="6">
        <v>61</v>
      </c>
      <c r="N104" s="6">
        <v>4.5</v>
      </c>
      <c r="O104" s="6"/>
      <c r="P104" s="6"/>
      <c r="Q104" s="6"/>
      <c r="R104" s="6"/>
      <c r="S104" s="6"/>
      <c r="T104" s="6"/>
      <c r="U104" s="6"/>
      <c r="V104" s="6"/>
      <c r="W104" s="6" t="s">
        <v>489</v>
      </c>
    </row>
    <row r="105" spans="1:23" x14ac:dyDescent="0.25">
      <c r="A105" s="6">
        <v>35</v>
      </c>
      <c r="B105" s="7" t="s">
        <v>593</v>
      </c>
      <c r="C105" s="13" t="s">
        <v>490</v>
      </c>
      <c r="D105" s="55" t="s">
        <v>490</v>
      </c>
      <c r="E105" s="6">
        <v>0</v>
      </c>
      <c r="F105" s="25" t="s">
        <v>209</v>
      </c>
      <c r="G105" s="25" t="s">
        <v>213</v>
      </c>
      <c r="H105" s="56" t="s">
        <v>491</v>
      </c>
      <c r="I105" s="25" t="s">
        <v>21</v>
      </c>
      <c r="J105" s="13" t="s">
        <v>492</v>
      </c>
      <c r="K105" s="13" t="s">
        <v>25</v>
      </c>
      <c r="L105" s="13">
        <f t="shared" si="9"/>
        <v>1975</v>
      </c>
      <c r="M105" s="13">
        <v>50</v>
      </c>
      <c r="N105" s="13">
        <v>4.5</v>
      </c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x14ac:dyDescent="0.25">
      <c r="A106" s="6">
        <v>36</v>
      </c>
      <c r="B106" s="7" t="s">
        <v>593</v>
      </c>
      <c r="C106" s="6" t="s">
        <v>493</v>
      </c>
      <c r="D106" s="50" t="s">
        <v>493</v>
      </c>
      <c r="E106" s="6">
        <v>0</v>
      </c>
      <c r="F106" s="18" t="s">
        <v>218</v>
      </c>
      <c r="G106" s="6"/>
      <c r="H106" s="50" t="s">
        <v>494</v>
      </c>
      <c r="I106" s="6" t="s">
        <v>21</v>
      </c>
      <c r="J106" s="6" t="s">
        <v>495</v>
      </c>
      <c r="K106" s="6" t="s">
        <v>25</v>
      </c>
      <c r="L106" s="6">
        <f t="shared" si="9"/>
        <v>1979</v>
      </c>
      <c r="M106" s="6">
        <v>46</v>
      </c>
      <c r="N106" s="6">
        <v>4.2</v>
      </c>
      <c r="O106" s="6"/>
      <c r="P106" s="6"/>
      <c r="Q106" s="6"/>
      <c r="R106" s="6"/>
      <c r="S106" s="6"/>
      <c r="T106" s="6"/>
      <c r="U106" s="6"/>
      <c r="V106" s="6"/>
      <c r="W106" s="6"/>
    </row>
    <row r="107" spans="1:23" x14ac:dyDescent="0.25">
      <c r="A107" s="6">
        <v>37</v>
      </c>
      <c r="B107" s="7" t="s">
        <v>593</v>
      </c>
      <c r="C107" s="6" t="s">
        <v>496</v>
      </c>
      <c r="D107" s="50" t="s">
        <v>496</v>
      </c>
      <c r="E107" s="6">
        <v>0</v>
      </c>
      <c r="F107" s="18" t="s">
        <v>218</v>
      </c>
      <c r="G107" s="6"/>
      <c r="H107" s="50" t="s">
        <v>497</v>
      </c>
      <c r="I107" s="6" t="s">
        <v>21</v>
      </c>
      <c r="J107" s="6" t="s">
        <v>498</v>
      </c>
      <c r="K107" s="6" t="s">
        <v>25</v>
      </c>
      <c r="L107" s="6">
        <f t="shared" si="9"/>
        <v>1964</v>
      </c>
      <c r="M107" s="6">
        <v>61</v>
      </c>
      <c r="N107" s="6">
        <v>3.8</v>
      </c>
      <c r="O107" s="6"/>
      <c r="P107" s="6"/>
      <c r="Q107" s="6"/>
      <c r="R107" s="6"/>
      <c r="S107" s="6"/>
      <c r="T107" s="6"/>
      <c r="U107" s="6"/>
      <c r="V107" s="6"/>
      <c r="W107" s="6" t="s">
        <v>416</v>
      </c>
    </row>
    <row r="108" spans="1:23" x14ac:dyDescent="0.25">
      <c r="A108" s="6">
        <v>38</v>
      </c>
      <c r="B108" s="7" t="s">
        <v>593</v>
      </c>
      <c r="C108" s="13" t="s">
        <v>499</v>
      </c>
      <c r="D108" s="55" t="s">
        <v>499</v>
      </c>
      <c r="E108" s="6">
        <v>0</v>
      </c>
      <c r="F108" s="21" t="s">
        <v>218</v>
      </c>
      <c r="G108" s="13"/>
      <c r="H108" s="56" t="s">
        <v>500</v>
      </c>
      <c r="I108" s="25" t="s">
        <v>21</v>
      </c>
      <c r="J108" s="13" t="s">
        <v>501</v>
      </c>
      <c r="K108" s="13" t="s">
        <v>22</v>
      </c>
      <c r="L108" s="13">
        <f t="shared" si="9"/>
        <v>1962</v>
      </c>
      <c r="M108" s="13">
        <v>63</v>
      </c>
      <c r="N108" s="13">
        <v>4</v>
      </c>
      <c r="O108" s="13"/>
      <c r="P108" s="13"/>
      <c r="Q108" s="13"/>
      <c r="R108" s="13"/>
      <c r="S108" s="13"/>
      <c r="T108" s="13"/>
      <c r="U108" s="13"/>
      <c r="V108" s="13"/>
      <c r="W108" s="6" t="s">
        <v>416</v>
      </c>
    </row>
    <row r="109" spans="1:23" x14ac:dyDescent="0.25">
      <c r="A109" s="6">
        <v>39</v>
      </c>
      <c r="B109" s="7" t="s">
        <v>593</v>
      </c>
      <c r="C109" s="6" t="s">
        <v>502</v>
      </c>
      <c r="D109" s="50" t="s">
        <v>502</v>
      </c>
      <c r="E109" s="6">
        <v>0</v>
      </c>
      <c r="F109" s="19" t="s">
        <v>224</v>
      </c>
      <c r="G109" s="19" t="s">
        <v>225</v>
      </c>
      <c r="H109" s="56" t="s">
        <v>503</v>
      </c>
      <c r="I109" s="25" t="s">
        <v>21</v>
      </c>
      <c r="J109" s="6" t="s">
        <v>504</v>
      </c>
      <c r="K109" s="6" t="s">
        <v>22</v>
      </c>
      <c r="L109" s="6">
        <f t="shared" si="9"/>
        <v>1972</v>
      </c>
      <c r="M109" s="6">
        <v>53</v>
      </c>
      <c r="N109" s="6">
        <v>4.0999999999999996</v>
      </c>
      <c r="O109" s="6"/>
      <c r="P109" s="6"/>
      <c r="Q109" s="6"/>
      <c r="R109" s="6"/>
      <c r="S109" s="6"/>
      <c r="T109" s="6"/>
      <c r="U109" s="6"/>
      <c r="V109" s="6"/>
      <c r="W109" s="6" t="s">
        <v>416</v>
      </c>
    </row>
    <row r="110" spans="1:23" x14ac:dyDescent="0.25">
      <c r="A110" s="6">
        <v>40</v>
      </c>
      <c r="B110" s="7" t="s">
        <v>593</v>
      </c>
      <c r="C110" s="6" t="s">
        <v>505</v>
      </c>
      <c r="D110" s="50" t="s">
        <v>505</v>
      </c>
      <c r="E110" s="6">
        <v>0</v>
      </c>
      <c r="F110" s="19" t="s">
        <v>224</v>
      </c>
      <c r="G110" s="19" t="s">
        <v>225</v>
      </c>
      <c r="H110" s="56" t="s">
        <v>506</v>
      </c>
      <c r="I110" s="25" t="s">
        <v>21</v>
      </c>
      <c r="J110" s="6" t="s">
        <v>507</v>
      </c>
      <c r="K110" s="6" t="s">
        <v>22</v>
      </c>
      <c r="L110" s="6">
        <f t="shared" si="9"/>
        <v>1969</v>
      </c>
      <c r="M110" s="13">
        <v>56</v>
      </c>
      <c r="N110" s="6">
        <v>4</v>
      </c>
      <c r="O110" s="6"/>
      <c r="P110" s="6"/>
      <c r="Q110" s="6"/>
      <c r="R110" s="6"/>
      <c r="S110" s="6"/>
      <c r="T110" s="6"/>
      <c r="U110" s="6"/>
      <c r="V110" s="6"/>
      <c r="W110" s="6"/>
    </row>
    <row r="111" spans="1:23" x14ac:dyDescent="0.25">
      <c r="A111" s="6">
        <v>41</v>
      </c>
      <c r="B111" s="7" t="s">
        <v>593</v>
      </c>
      <c r="C111" s="13" t="s">
        <v>508</v>
      </c>
      <c r="D111" s="55" t="s">
        <v>508</v>
      </c>
      <c r="E111" s="6">
        <v>0</v>
      </c>
      <c r="F111" s="25" t="s">
        <v>224</v>
      </c>
      <c r="G111" s="19" t="s">
        <v>225</v>
      </c>
      <c r="H111" s="56" t="s">
        <v>509</v>
      </c>
      <c r="I111" s="25" t="s">
        <v>21</v>
      </c>
      <c r="J111" s="13" t="s">
        <v>510</v>
      </c>
      <c r="K111" s="13" t="s">
        <v>25</v>
      </c>
      <c r="L111" s="28">
        <f t="shared" si="9"/>
        <v>1966</v>
      </c>
      <c r="M111" s="6">
        <v>59</v>
      </c>
      <c r="N111" s="22">
        <v>4.5</v>
      </c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x14ac:dyDescent="0.25">
      <c r="A112" s="6">
        <v>42</v>
      </c>
      <c r="B112" s="7" t="s">
        <v>593</v>
      </c>
      <c r="C112" s="6" t="s">
        <v>511</v>
      </c>
      <c r="D112" s="50" t="s">
        <v>511</v>
      </c>
      <c r="E112" s="6">
        <v>0</v>
      </c>
      <c r="F112" s="10" t="s">
        <v>225</v>
      </c>
      <c r="G112" s="10" t="s">
        <v>233</v>
      </c>
      <c r="H112" s="56" t="s">
        <v>512</v>
      </c>
      <c r="I112" s="25" t="s">
        <v>21</v>
      </c>
      <c r="J112" s="20" t="s">
        <v>513</v>
      </c>
      <c r="K112" s="6" t="s">
        <v>22</v>
      </c>
      <c r="L112" s="41">
        <v>1972</v>
      </c>
      <c r="M112" s="6">
        <f>2025-L112</f>
        <v>53</v>
      </c>
      <c r="N112" s="15">
        <v>3.9</v>
      </c>
      <c r="O112" s="6"/>
      <c r="P112" s="6"/>
      <c r="Q112" s="6"/>
      <c r="R112" s="6"/>
      <c r="S112" s="6"/>
      <c r="T112" s="6"/>
      <c r="U112" s="6"/>
      <c r="V112" s="6"/>
      <c r="W112" s="6"/>
    </row>
    <row r="113" spans="1:23" x14ac:dyDescent="0.25">
      <c r="A113" s="6">
        <v>43</v>
      </c>
      <c r="B113" s="7" t="s">
        <v>593</v>
      </c>
      <c r="C113" s="6" t="s">
        <v>514</v>
      </c>
      <c r="D113" s="50" t="s">
        <v>514</v>
      </c>
      <c r="E113" s="6">
        <v>0</v>
      </c>
      <c r="F113" s="10" t="s">
        <v>225</v>
      </c>
      <c r="G113" s="10" t="s">
        <v>233</v>
      </c>
      <c r="H113" s="56" t="s">
        <v>515</v>
      </c>
      <c r="I113" s="25" t="s">
        <v>21</v>
      </c>
      <c r="J113" s="20" t="s">
        <v>516</v>
      </c>
      <c r="K113" s="6" t="s">
        <v>25</v>
      </c>
      <c r="L113" s="41">
        <v>1953</v>
      </c>
      <c r="M113" s="6">
        <f t="shared" ref="M113:M117" si="10">2025-L113</f>
        <v>72</v>
      </c>
      <c r="N113" s="15">
        <v>5.2</v>
      </c>
      <c r="O113" s="6"/>
      <c r="P113" s="6"/>
      <c r="Q113" s="6"/>
      <c r="R113" s="6"/>
      <c r="S113" s="6"/>
      <c r="T113" s="6"/>
      <c r="U113" s="6"/>
      <c r="V113" s="6"/>
      <c r="W113" s="6"/>
    </row>
    <row r="114" spans="1:23" x14ac:dyDescent="0.25">
      <c r="A114" s="6">
        <v>44</v>
      </c>
      <c r="B114" s="7" t="s">
        <v>593</v>
      </c>
      <c r="C114" s="6" t="s">
        <v>517</v>
      </c>
      <c r="D114" s="50" t="s">
        <v>517</v>
      </c>
      <c r="E114" s="6">
        <v>0</v>
      </c>
      <c r="F114" s="10" t="s">
        <v>225</v>
      </c>
      <c r="G114" s="10" t="s">
        <v>233</v>
      </c>
      <c r="H114" s="56" t="s">
        <v>518</v>
      </c>
      <c r="I114" s="25" t="s">
        <v>21</v>
      </c>
      <c r="J114" s="20" t="s">
        <v>519</v>
      </c>
      <c r="K114" s="6" t="s">
        <v>22</v>
      </c>
      <c r="L114" s="41">
        <v>1985</v>
      </c>
      <c r="M114" s="6">
        <f t="shared" si="10"/>
        <v>40</v>
      </c>
      <c r="N114" s="15">
        <v>4</v>
      </c>
      <c r="O114" s="6"/>
      <c r="P114" s="6"/>
      <c r="Q114" s="6"/>
      <c r="R114" s="6"/>
      <c r="S114" s="6"/>
      <c r="T114" s="6"/>
      <c r="U114" s="6"/>
      <c r="V114" s="6"/>
      <c r="W114" s="6" t="s">
        <v>416</v>
      </c>
    </row>
    <row r="115" spans="1:23" x14ac:dyDescent="0.25">
      <c r="A115" s="6">
        <v>45</v>
      </c>
      <c r="B115" s="7" t="s">
        <v>593</v>
      </c>
      <c r="C115" s="6" t="s">
        <v>520</v>
      </c>
      <c r="D115" s="50" t="s">
        <v>520</v>
      </c>
      <c r="E115" s="6">
        <v>0</v>
      </c>
      <c r="F115" s="12" t="s">
        <v>225</v>
      </c>
      <c r="G115" s="12" t="s">
        <v>233</v>
      </c>
      <c r="H115" s="57" t="s">
        <v>521</v>
      </c>
      <c r="I115" s="29" t="s">
        <v>21</v>
      </c>
      <c r="J115" s="28" t="s">
        <v>522</v>
      </c>
      <c r="K115" s="13" t="s">
        <v>25</v>
      </c>
      <c r="L115" s="33">
        <v>1969</v>
      </c>
      <c r="M115" s="6">
        <f t="shared" si="10"/>
        <v>56</v>
      </c>
      <c r="N115" s="22">
        <v>4.8</v>
      </c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x14ac:dyDescent="0.25">
      <c r="A116" s="6">
        <v>46</v>
      </c>
      <c r="B116" s="7" t="s">
        <v>593</v>
      </c>
      <c r="C116" s="20" t="s">
        <v>523</v>
      </c>
      <c r="D116" s="65" t="s">
        <v>523</v>
      </c>
      <c r="E116" s="6">
        <v>0</v>
      </c>
      <c r="F116" s="19" t="s">
        <v>233</v>
      </c>
      <c r="G116" s="18" t="s">
        <v>241</v>
      </c>
      <c r="H116" s="58" t="s">
        <v>524</v>
      </c>
      <c r="I116" s="18" t="s">
        <v>21</v>
      </c>
      <c r="J116" s="6" t="s">
        <v>525</v>
      </c>
      <c r="K116" s="6" t="s">
        <v>22</v>
      </c>
      <c r="L116" s="20">
        <v>1962</v>
      </c>
      <c r="M116" s="6">
        <f t="shared" si="10"/>
        <v>63</v>
      </c>
      <c r="N116" s="15">
        <v>3.5</v>
      </c>
      <c r="O116" s="6"/>
      <c r="P116" s="6"/>
      <c r="Q116" s="6"/>
      <c r="R116" s="6"/>
      <c r="S116" s="6"/>
      <c r="T116" s="6"/>
      <c r="U116" s="6"/>
      <c r="V116" s="6"/>
      <c r="W116" s="6"/>
    </row>
    <row r="117" spans="1:23" x14ac:dyDescent="0.25">
      <c r="A117" s="6">
        <v>47</v>
      </c>
      <c r="B117" s="7" t="s">
        <v>593</v>
      </c>
      <c r="C117" s="20" t="s">
        <v>526</v>
      </c>
      <c r="D117" s="65" t="s">
        <v>526</v>
      </c>
      <c r="E117" s="6">
        <v>0</v>
      </c>
      <c r="F117" s="19" t="s">
        <v>233</v>
      </c>
      <c r="G117" s="18" t="s">
        <v>241</v>
      </c>
      <c r="H117" s="59" t="s">
        <v>527</v>
      </c>
      <c r="I117" s="21" t="s">
        <v>21</v>
      </c>
      <c r="J117" s="13" t="s">
        <v>528</v>
      </c>
      <c r="K117" s="13" t="s">
        <v>25</v>
      </c>
      <c r="L117" s="28">
        <v>1969</v>
      </c>
      <c r="M117" s="13">
        <f t="shared" si="10"/>
        <v>56</v>
      </c>
      <c r="N117" s="22">
        <v>4.3</v>
      </c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x14ac:dyDescent="0.25">
      <c r="A118" s="6">
        <v>48</v>
      </c>
      <c r="B118" s="7" t="s">
        <v>593</v>
      </c>
      <c r="C118" s="20" t="s">
        <v>529</v>
      </c>
      <c r="D118" s="65" t="s">
        <v>529</v>
      </c>
      <c r="E118" s="6">
        <v>0</v>
      </c>
      <c r="F118" s="18" t="s">
        <v>241</v>
      </c>
      <c r="G118" s="18" t="s">
        <v>246</v>
      </c>
      <c r="H118" s="58" t="s">
        <v>530</v>
      </c>
      <c r="I118" s="18" t="s">
        <v>21</v>
      </c>
      <c r="J118" s="6" t="s">
        <v>531</v>
      </c>
      <c r="K118" s="6" t="s">
        <v>22</v>
      </c>
      <c r="L118" s="6">
        <f t="shared" ref="L118:L133" si="11">2025-M118</f>
        <v>1955</v>
      </c>
      <c r="M118" s="6">
        <v>70</v>
      </c>
      <c r="N118" s="6">
        <v>4.5999999999999996</v>
      </c>
      <c r="O118" s="6"/>
      <c r="P118" s="6"/>
      <c r="Q118" s="6"/>
      <c r="R118" s="6"/>
      <c r="S118" s="6"/>
      <c r="T118" s="6"/>
      <c r="U118" s="6"/>
      <c r="V118" s="6"/>
      <c r="W118" s="6" t="s">
        <v>416</v>
      </c>
    </row>
    <row r="119" spans="1:23" x14ac:dyDescent="0.25">
      <c r="A119" s="6">
        <v>49</v>
      </c>
      <c r="B119" s="7" t="s">
        <v>593</v>
      </c>
      <c r="C119" s="20" t="s">
        <v>532</v>
      </c>
      <c r="D119" s="65" t="s">
        <v>532</v>
      </c>
      <c r="E119" s="6">
        <v>0</v>
      </c>
      <c r="F119" s="21" t="s">
        <v>241</v>
      </c>
      <c r="G119" s="21" t="s">
        <v>246</v>
      </c>
      <c r="H119" s="59" t="s">
        <v>533</v>
      </c>
      <c r="I119" s="21" t="s">
        <v>21</v>
      </c>
      <c r="J119" s="13" t="s">
        <v>534</v>
      </c>
      <c r="K119" s="13" t="s">
        <v>25</v>
      </c>
      <c r="L119" s="13">
        <f t="shared" si="11"/>
        <v>1962</v>
      </c>
      <c r="M119" s="13">
        <v>63</v>
      </c>
      <c r="N119" s="13">
        <v>4.7</v>
      </c>
      <c r="O119" s="13"/>
      <c r="P119" s="13"/>
      <c r="Q119" s="13"/>
      <c r="R119" s="13"/>
      <c r="S119" s="13"/>
      <c r="T119" s="13"/>
      <c r="U119" s="13"/>
      <c r="V119" s="13"/>
      <c r="W119" s="13" t="s">
        <v>416</v>
      </c>
    </row>
    <row r="120" spans="1:23" x14ac:dyDescent="0.25">
      <c r="A120" s="6">
        <v>50</v>
      </c>
      <c r="B120" s="7" t="s">
        <v>593</v>
      </c>
      <c r="C120" s="20" t="s">
        <v>535</v>
      </c>
      <c r="D120" s="65" t="s">
        <v>535</v>
      </c>
      <c r="E120" s="6">
        <v>0</v>
      </c>
      <c r="F120" s="14" t="s">
        <v>246</v>
      </c>
      <c r="G120" s="10" t="s">
        <v>259</v>
      </c>
      <c r="H120" s="60" t="s">
        <v>536</v>
      </c>
      <c r="I120" s="42" t="s">
        <v>21</v>
      </c>
      <c r="J120" s="15" t="s">
        <v>537</v>
      </c>
      <c r="K120" s="6" t="s">
        <v>25</v>
      </c>
      <c r="L120" s="6">
        <f t="shared" si="11"/>
        <v>1945</v>
      </c>
      <c r="M120" s="6">
        <v>80</v>
      </c>
      <c r="N120" s="6">
        <v>3.6</v>
      </c>
      <c r="O120" s="6"/>
      <c r="P120" s="6"/>
      <c r="Q120" s="6"/>
      <c r="R120" s="6"/>
      <c r="S120" s="6"/>
      <c r="T120" s="6"/>
      <c r="U120" s="6"/>
      <c r="V120" s="6"/>
      <c r="W120" s="6"/>
    </row>
    <row r="121" spans="1:23" x14ac:dyDescent="0.25">
      <c r="A121" s="6">
        <v>51</v>
      </c>
      <c r="B121" s="7" t="s">
        <v>593</v>
      </c>
      <c r="C121" s="20" t="s">
        <v>538</v>
      </c>
      <c r="D121" s="65" t="s">
        <v>538</v>
      </c>
      <c r="E121" s="6">
        <v>0</v>
      </c>
      <c r="F121" s="14" t="s">
        <v>246</v>
      </c>
      <c r="G121" s="12" t="s">
        <v>259</v>
      </c>
      <c r="H121" s="61" t="s">
        <v>539</v>
      </c>
      <c r="I121" s="32" t="s">
        <v>21</v>
      </c>
      <c r="J121" s="22" t="s">
        <v>540</v>
      </c>
      <c r="K121" s="13" t="s">
        <v>25</v>
      </c>
      <c r="L121" s="13">
        <f t="shared" si="11"/>
        <v>1973</v>
      </c>
      <c r="M121" s="13">
        <v>52</v>
      </c>
      <c r="N121" s="13">
        <v>3.6</v>
      </c>
      <c r="O121" s="13"/>
      <c r="P121" s="13"/>
      <c r="Q121" s="13"/>
      <c r="R121" s="13"/>
      <c r="S121" s="13"/>
      <c r="T121" s="13"/>
      <c r="U121" s="13"/>
      <c r="V121" s="13"/>
      <c r="W121" s="13" t="s">
        <v>541</v>
      </c>
    </row>
    <row r="122" spans="1:23" x14ac:dyDescent="0.25">
      <c r="A122" s="6">
        <v>52</v>
      </c>
      <c r="B122" s="7" t="s">
        <v>593</v>
      </c>
      <c r="C122" s="20" t="s">
        <v>542</v>
      </c>
      <c r="D122" s="65" t="s">
        <v>542</v>
      </c>
      <c r="E122" s="6">
        <v>0</v>
      </c>
      <c r="F122" s="18" t="s">
        <v>253</v>
      </c>
      <c r="G122" s="10" t="s">
        <v>254</v>
      </c>
      <c r="H122" s="51" t="s">
        <v>543</v>
      </c>
      <c r="I122" s="10" t="s">
        <v>21</v>
      </c>
      <c r="J122" s="6" t="s">
        <v>544</v>
      </c>
      <c r="K122" s="6" t="s">
        <v>22</v>
      </c>
      <c r="L122" s="13">
        <f t="shared" si="11"/>
        <v>1981</v>
      </c>
      <c r="M122" s="6">
        <v>44</v>
      </c>
      <c r="N122" s="6">
        <v>3.7</v>
      </c>
      <c r="O122" s="6"/>
      <c r="P122" s="20"/>
      <c r="Q122" s="6"/>
      <c r="R122" s="15"/>
      <c r="S122" s="6"/>
      <c r="T122" s="6"/>
      <c r="U122" s="6"/>
      <c r="V122" s="6"/>
      <c r="W122" s="6" t="s">
        <v>416</v>
      </c>
    </row>
    <row r="123" spans="1:23" x14ac:dyDescent="0.25">
      <c r="A123" s="6">
        <v>53</v>
      </c>
      <c r="B123" s="7" t="s">
        <v>593</v>
      </c>
      <c r="C123" s="6" t="s">
        <v>545</v>
      </c>
      <c r="D123" s="50" t="s">
        <v>545</v>
      </c>
      <c r="E123" s="6">
        <v>0</v>
      </c>
      <c r="F123" s="6" t="s">
        <v>254</v>
      </c>
      <c r="G123" s="12" t="s">
        <v>259</v>
      </c>
      <c r="H123" s="52" t="s">
        <v>546</v>
      </c>
      <c r="I123" s="12" t="s">
        <v>21</v>
      </c>
      <c r="J123" s="6" t="s">
        <v>547</v>
      </c>
      <c r="K123" s="6" t="s">
        <v>22</v>
      </c>
      <c r="L123" s="6">
        <f t="shared" si="11"/>
        <v>1954</v>
      </c>
      <c r="M123" s="6">
        <v>71</v>
      </c>
      <c r="N123" s="6">
        <v>4.8</v>
      </c>
      <c r="O123" s="6"/>
      <c r="P123" s="6"/>
      <c r="Q123" s="6"/>
      <c r="R123" s="6"/>
      <c r="S123" s="6"/>
      <c r="T123" s="6"/>
      <c r="U123" s="6"/>
      <c r="V123" s="6"/>
      <c r="W123" s="6" t="s">
        <v>548</v>
      </c>
    </row>
    <row r="124" spans="1:23" x14ac:dyDescent="0.25">
      <c r="A124" s="6">
        <v>54</v>
      </c>
      <c r="B124" s="7" t="s">
        <v>593</v>
      </c>
      <c r="C124" s="6" t="s">
        <v>549</v>
      </c>
      <c r="D124" s="50" t="s">
        <v>549</v>
      </c>
      <c r="E124" s="6">
        <v>0</v>
      </c>
      <c r="F124" s="14" t="s">
        <v>259</v>
      </c>
      <c r="G124" s="10" t="s">
        <v>267</v>
      </c>
      <c r="H124" s="51" t="s">
        <v>550</v>
      </c>
      <c r="I124" s="10" t="s">
        <v>21</v>
      </c>
      <c r="J124" s="6" t="s">
        <v>551</v>
      </c>
      <c r="K124" s="13" t="s">
        <v>22</v>
      </c>
      <c r="L124" s="13">
        <f t="shared" si="11"/>
        <v>1964</v>
      </c>
      <c r="M124" s="13">
        <v>61</v>
      </c>
      <c r="N124" s="6">
        <v>4.4000000000000004</v>
      </c>
      <c r="O124" s="6"/>
      <c r="P124" s="6"/>
      <c r="Q124" s="6"/>
      <c r="R124" s="6"/>
      <c r="S124" s="6"/>
      <c r="T124" s="6"/>
      <c r="U124" s="6"/>
      <c r="V124" s="6"/>
      <c r="W124" s="6"/>
    </row>
    <row r="125" spans="1:23" x14ac:dyDescent="0.25">
      <c r="A125" s="6">
        <v>55</v>
      </c>
      <c r="B125" s="7" t="s">
        <v>593</v>
      </c>
      <c r="C125" s="6" t="s">
        <v>552</v>
      </c>
      <c r="D125" s="50" t="s">
        <v>552</v>
      </c>
      <c r="E125" s="6">
        <v>0</v>
      </c>
      <c r="F125" s="14" t="s">
        <v>259</v>
      </c>
      <c r="G125" s="10" t="s">
        <v>267</v>
      </c>
      <c r="H125" s="57" t="s">
        <v>553</v>
      </c>
      <c r="I125" s="29" t="s">
        <v>21</v>
      </c>
      <c r="J125" s="28" t="s">
        <v>554</v>
      </c>
      <c r="K125" s="13" t="s">
        <v>25</v>
      </c>
      <c r="L125" s="13">
        <f t="shared" si="11"/>
        <v>1961</v>
      </c>
      <c r="M125" s="13">
        <v>64</v>
      </c>
      <c r="N125" s="22">
        <v>4.5999999999999996</v>
      </c>
      <c r="O125" s="6"/>
      <c r="P125" s="6"/>
      <c r="Q125" s="6"/>
      <c r="R125" s="6"/>
      <c r="S125" s="6"/>
      <c r="T125" s="6"/>
      <c r="U125" s="6"/>
      <c r="V125" s="6"/>
      <c r="W125" s="6"/>
    </row>
    <row r="126" spans="1:23" x14ac:dyDescent="0.25">
      <c r="A126" s="6">
        <v>56</v>
      </c>
      <c r="B126" s="7" t="s">
        <v>593</v>
      </c>
      <c r="C126" s="6" t="s">
        <v>555</v>
      </c>
      <c r="D126" s="50" t="s">
        <v>555</v>
      </c>
      <c r="E126" s="6">
        <v>0</v>
      </c>
      <c r="F126" s="14" t="s">
        <v>259</v>
      </c>
      <c r="G126" s="14" t="s">
        <v>267</v>
      </c>
      <c r="H126" s="62" t="s">
        <v>556</v>
      </c>
      <c r="I126" s="14" t="s">
        <v>21</v>
      </c>
      <c r="J126" s="6" t="s">
        <v>557</v>
      </c>
      <c r="K126" s="6" t="s">
        <v>22</v>
      </c>
      <c r="L126" s="6">
        <f t="shared" si="11"/>
        <v>1961</v>
      </c>
      <c r="M126" s="6">
        <v>64</v>
      </c>
      <c r="N126" s="6">
        <v>3.8</v>
      </c>
      <c r="O126" s="15"/>
      <c r="P126" s="6"/>
      <c r="Q126" s="6"/>
      <c r="R126" s="6"/>
      <c r="S126" s="6"/>
      <c r="T126" s="6"/>
      <c r="U126" s="6"/>
      <c r="V126" s="6"/>
      <c r="W126" s="6"/>
    </row>
    <row r="127" spans="1:23" x14ac:dyDescent="0.25">
      <c r="A127" s="6">
        <v>57</v>
      </c>
      <c r="B127" s="7" t="s">
        <v>593</v>
      </c>
      <c r="C127" s="6" t="s">
        <v>558</v>
      </c>
      <c r="D127" s="50" t="s">
        <v>558</v>
      </c>
      <c r="E127" s="6">
        <v>0</v>
      </c>
      <c r="F127" s="29" t="s">
        <v>259</v>
      </c>
      <c r="G127" s="29" t="s">
        <v>267</v>
      </c>
      <c r="H127" s="57" t="s">
        <v>559</v>
      </c>
      <c r="I127" s="29" t="s">
        <v>21</v>
      </c>
      <c r="J127" s="13" t="s">
        <v>560</v>
      </c>
      <c r="K127" s="13" t="s">
        <v>25</v>
      </c>
      <c r="L127" s="13">
        <f t="shared" si="11"/>
        <v>1968</v>
      </c>
      <c r="M127" s="13">
        <v>57</v>
      </c>
      <c r="N127" s="13">
        <v>5.0999999999999996</v>
      </c>
      <c r="O127" s="22"/>
      <c r="P127" s="13"/>
      <c r="Q127" s="13"/>
      <c r="R127" s="13"/>
      <c r="S127" s="13"/>
      <c r="T127" s="13"/>
      <c r="U127" s="13"/>
      <c r="V127" s="13"/>
      <c r="W127" s="13"/>
    </row>
    <row r="128" spans="1:23" x14ac:dyDescent="0.25">
      <c r="A128" s="6">
        <v>58</v>
      </c>
      <c r="B128" s="7" t="s">
        <v>593</v>
      </c>
      <c r="C128" s="20" t="s">
        <v>561</v>
      </c>
      <c r="D128" s="65" t="s">
        <v>561</v>
      </c>
      <c r="E128" s="6">
        <v>0</v>
      </c>
      <c r="F128" s="20" t="s">
        <v>267</v>
      </c>
      <c r="G128" s="6" t="s">
        <v>279</v>
      </c>
      <c r="H128" s="50" t="s">
        <v>562</v>
      </c>
      <c r="I128" s="6" t="s">
        <v>21</v>
      </c>
      <c r="J128" s="6" t="s">
        <v>563</v>
      </c>
      <c r="K128" s="6" t="s">
        <v>22</v>
      </c>
      <c r="L128" s="6">
        <f t="shared" si="11"/>
        <v>1965</v>
      </c>
      <c r="M128" s="6">
        <v>60</v>
      </c>
      <c r="N128" s="6">
        <v>4.4000000000000004</v>
      </c>
      <c r="O128" s="6"/>
      <c r="P128" s="6"/>
      <c r="Q128" s="6"/>
      <c r="R128" s="6"/>
      <c r="S128" s="6"/>
      <c r="T128" s="6"/>
      <c r="U128" s="6"/>
      <c r="V128" s="6"/>
      <c r="W128" s="6"/>
    </row>
    <row r="129" spans="1:23" x14ac:dyDescent="0.25">
      <c r="A129" s="6">
        <v>59</v>
      </c>
      <c r="B129" s="7" t="s">
        <v>593</v>
      </c>
      <c r="C129" s="20" t="s">
        <v>564</v>
      </c>
      <c r="D129" s="65" t="s">
        <v>564</v>
      </c>
      <c r="E129" s="6">
        <v>0</v>
      </c>
      <c r="F129" s="28" t="s">
        <v>267</v>
      </c>
      <c r="G129" s="6" t="s">
        <v>279</v>
      </c>
      <c r="H129" s="50" t="s">
        <v>565</v>
      </c>
      <c r="I129" s="6" t="s">
        <v>21</v>
      </c>
      <c r="J129" s="6" t="s">
        <v>566</v>
      </c>
      <c r="K129" s="6" t="s">
        <v>22</v>
      </c>
      <c r="L129" s="6">
        <f t="shared" si="11"/>
        <v>1974</v>
      </c>
      <c r="M129" s="6">
        <v>51</v>
      </c>
      <c r="N129" s="6">
        <v>4.3</v>
      </c>
      <c r="O129" s="6"/>
      <c r="P129" s="6"/>
      <c r="Q129" s="6"/>
      <c r="R129" s="6"/>
      <c r="S129" s="6"/>
      <c r="T129" s="6"/>
      <c r="U129" s="6"/>
      <c r="V129" s="6"/>
      <c r="W129" s="6"/>
    </row>
    <row r="130" spans="1:23" x14ac:dyDescent="0.25">
      <c r="A130" s="6">
        <v>60</v>
      </c>
      <c r="B130" s="7" t="s">
        <v>593</v>
      </c>
      <c r="C130" s="20" t="s">
        <v>567</v>
      </c>
      <c r="D130" s="65" t="s">
        <v>567</v>
      </c>
      <c r="E130" s="6">
        <v>0</v>
      </c>
      <c r="F130" s="28" t="s">
        <v>279</v>
      </c>
      <c r="G130" s="6" t="s">
        <v>287</v>
      </c>
      <c r="H130" s="50" t="s">
        <v>568</v>
      </c>
      <c r="I130" s="6" t="s">
        <v>21</v>
      </c>
      <c r="J130" s="6" t="s">
        <v>569</v>
      </c>
      <c r="K130" s="6" t="s">
        <v>22</v>
      </c>
      <c r="L130" s="6">
        <f t="shared" si="11"/>
        <v>1961</v>
      </c>
      <c r="M130" s="6">
        <v>64</v>
      </c>
      <c r="N130" s="6">
        <v>4.5</v>
      </c>
      <c r="O130" s="6"/>
      <c r="P130" s="6"/>
      <c r="Q130" s="6"/>
      <c r="R130" s="6"/>
      <c r="S130" s="6"/>
      <c r="T130" s="6"/>
      <c r="U130" s="6"/>
      <c r="V130" s="6"/>
      <c r="W130" s="6"/>
    </row>
    <row r="131" spans="1:23" x14ac:dyDescent="0.25">
      <c r="A131" s="6">
        <v>61</v>
      </c>
      <c r="B131" s="7" t="s">
        <v>593</v>
      </c>
      <c r="C131" s="28" t="s">
        <v>570</v>
      </c>
      <c r="D131" s="66" t="s">
        <v>570</v>
      </c>
      <c r="E131" s="6">
        <v>0</v>
      </c>
      <c r="F131" s="20" t="s">
        <v>279</v>
      </c>
      <c r="G131" s="6" t="s">
        <v>287</v>
      </c>
      <c r="H131" s="50" t="s">
        <v>571</v>
      </c>
      <c r="I131" s="6" t="s">
        <v>21</v>
      </c>
      <c r="J131" s="6" t="s">
        <v>572</v>
      </c>
      <c r="K131" s="6" t="s">
        <v>25</v>
      </c>
      <c r="L131" s="6">
        <f t="shared" si="11"/>
        <v>1957</v>
      </c>
      <c r="M131" s="6">
        <v>68</v>
      </c>
      <c r="N131" s="6">
        <v>4.9000000000000004</v>
      </c>
      <c r="O131" s="6"/>
      <c r="P131" s="6"/>
      <c r="Q131" s="6"/>
      <c r="R131" s="6"/>
      <c r="S131" s="6"/>
      <c r="T131" s="6"/>
      <c r="U131" s="6"/>
      <c r="V131" s="6"/>
      <c r="W131" s="6"/>
    </row>
    <row r="132" spans="1:23" x14ac:dyDescent="0.25">
      <c r="A132" s="6">
        <v>62</v>
      </c>
      <c r="B132" s="7" t="s">
        <v>593</v>
      </c>
      <c r="C132" s="20" t="s">
        <v>573</v>
      </c>
      <c r="D132" s="65" t="s">
        <v>573</v>
      </c>
      <c r="E132" s="6">
        <v>0</v>
      </c>
      <c r="F132" s="20" t="s">
        <v>296</v>
      </c>
      <c r="G132" s="6" t="s">
        <v>297</v>
      </c>
      <c r="H132" s="50" t="s">
        <v>574</v>
      </c>
      <c r="I132" s="6" t="s">
        <v>21</v>
      </c>
      <c r="J132" s="6" t="s">
        <v>575</v>
      </c>
      <c r="K132" s="6" t="s">
        <v>22</v>
      </c>
      <c r="L132" s="6">
        <f t="shared" si="11"/>
        <v>1960</v>
      </c>
      <c r="M132" s="6">
        <v>65</v>
      </c>
      <c r="N132" s="6">
        <v>4.5</v>
      </c>
      <c r="O132" s="6"/>
      <c r="P132" s="6"/>
      <c r="Q132" s="6"/>
      <c r="R132" s="6"/>
      <c r="S132" s="6"/>
      <c r="T132" s="6"/>
      <c r="U132" s="6"/>
      <c r="V132" s="6"/>
      <c r="W132" s="6"/>
    </row>
    <row r="133" spans="1:23" x14ac:dyDescent="0.25">
      <c r="A133" s="6">
        <v>63</v>
      </c>
      <c r="B133" s="7" t="s">
        <v>593</v>
      </c>
      <c r="C133" s="20" t="s">
        <v>576</v>
      </c>
      <c r="D133" s="65" t="s">
        <v>576</v>
      </c>
      <c r="E133" s="6">
        <v>0</v>
      </c>
      <c r="F133" s="21" t="s">
        <v>577</v>
      </c>
      <c r="G133" s="10" t="s">
        <v>305</v>
      </c>
      <c r="H133" s="50" t="s">
        <v>578</v>
      </c>
      <c r="I133" s="6" t="s">
        <v>21</v>
      </c>
      <c r="J133" s="6" t="s">
        <v>579</v>
      </c>
      <c r="K133" s="6" t="s">
        <v>25</v>
      </c>
      <c r="L133" s="6">
        <f t="shared" si="11"/>
        <v>1953</v>
      </c>
      <c r="M133" s="6">
        <v>72</v>
      </c>
      <c r="N133" s="6" t="s">
        <v>312</v>
      </c>
      <c r="O133" s="6"/>
      <c r="P133" s="6"/>
      <c r="Q133" s="6"/>
      <c r="R133" s="6"/>
      <c r="S133" s="6"/>
      <c r="T133" s="6"/>
      <c r="U133" s="6"/>
      <c r="V133" s="6"/>
      <c r="W133" s="6"/>
    </row>
    <row r="134" spans="1:23" x14ac:dyDescent="0.25">
      <c r="A134" s="6">
        <v>64</v>
      </c>
      <c r="B134" s="7" t="s">
        <v>593</v>
      </c>
      <c r="C134" s="28" t="s">
        <v>580</v>
      </c>
      <c r="D134" s="66" t="s">
        <v>580</v>
      </c>
      <c r="E134" s="6">
        <v>0</v>
      </c>
      <c r="F134" s="29" t="s">
        <v>314</v>
      </c>
      <c r="G134" s="12" t="s">
        <v>315</v>
      </c>
      <c r="H134" s="55" t="s">
        <v>581</v>
      </c>
      <c r="I134" s="13" t="s">
        <v>21</v>
      </c>
      <c r="J134" s="13" t="s">
        <v>582</v>
      </c>
      <c r="K134" s="13" t="s">
        <v>25</v>
      </c>
      <c r="L134" s="13">
        <f>2025-M134</f>
        <v>1954</v>
      </c>
      <c r="M134" s="13">
        <v>71</v>
      </c>
      <c r="N134" s="13">
        <v>5</v>
      </c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x14ac:dyDescent="0.25">
      <c r="A135" s="6">
        <v>65</v>
      </c>
      <c r="B135" s="7" t="s">
        <v>593</v>
      </c>
      <c r="C135" s="6" t="s">
        <v>583</v>
      </c>
      <c r="D135" s="50" t="s">
        <v>583</v>
      </c>
      <c r="E135" s="6">
        <v>0</v>
      </c>
      <c r="F135" s="10" t="s">
        <v>315</v>
      </c>
      <c r="G135" s="10" t="s">
        <v>327</v>
      </c>
      <c r="H135" s="50" t="s">
        <v>584</v>
      </c>
      <c r="I135" s="6" t="s">
        <v>21</v>
      </c>
      <c r="J135" s="6" t="s">
        <v>585</v>
      </c>
      <c r="K135" s="6" t="s">
        <v>125</v>
      </c>
      <c r="L135" s="6">
        <f>2025-M135</f>
        <v>1947</v>
      </c>
      <c r="M135" s="6">
        <v>78</v>
      </c>
      <c r="N135" s="6">
        <v>4.7</v>
      </c>
      <c r="O135" s="6"/>
      <c r="P135" s="6"/>
      <c r="Q135" s="6"/>
      <c r="R135" s="6"/>
      <c r="S135" s="6"/>
      <c r="T135" s="6"/>
      <c r="U135" s="6"/>
      <c r="V135" s="6"/>
      <c r="W135" s="6"/>
    </row>
    <row r="136" spans="1:23" x14ac:dyDescent="0.25">
      <c r="A136" s="6">
        <v>66</v>
      </c>
      <c r="B136" s="7" t="s">
        <v>593</v>
      </c>
      <c r="C136" s="6" t="s">
        <v>586</v>
      </c>
      <c r="D136" s="50" t="s">
        <v>586</v>
      </c>
      <c r="E136" s="6">
        <v>0</v>
      </c>
      <c r="F136" s="6" t="s">
        <v>334</v>
      </c>
      <c r="G136" s="6" t="s">
        <v>587</v>
      </c>
      <c r="H136" s="50" t="s">
        <v>588</v>
      </c>
      <c r="I136" s="6" t="s">
        <v>21</v>
      </c>
      <c r="J136" s="6" t="s">
        <v>589</v>
      </c>
      <c r="K136" s="6" t="s">
        <v>22</v>
      </c>
      <c r="L136" s="6">
        <f>2025-M136</f>
        <v>1940</v>
      </c>
      <c r="M136" s="6">
        <v>85</v>
      </c>
      <c r="N136" s="6" t="s">
        <v>590</v>
      </c>
      <c r="O136" s="6"/>
      <c r="P136" s="6"/>
      <c r="Q136" s="6"/>
      <c r="R136" s="6"/>
      <c r="S136" s="6"/>
      <c r="T136" s="6"/>
      <c r="U136" s="6"/>
      <c r="V136" s="6"/>
      <c r="W136" s="6"/>
    </row>
  </sheetData>
  <autoFilter ref="A1:W136" xr:uid="{00000000-0001-0000-0100-000000000000}"/>
  <conditionalFormatting sqref="H74:H136">
    <cfRule type="duplicateValues" dxfId="1" priority="8"/>
  </conditionalFormatting>
  <conditionalFormatting sqref="H137:H1048576 H1:H73">
    <cfRule type="duplicateValues" dxfId="0" priority="2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796816-ee84-4612-9d42-257c84b60ab5" xsi:nil="true"/>
    <lcf76f155ced4ddcb4097134ff3c332f xmlns="a0ba9fa7-5bf5-4390-b087-3c0a46532b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3D2A4C11DE825641BD63C1373B1DCFA6" ma:contentTypeVersion="18" ma:contentTypeDescription="Tạo tài liệu mới." ma:contentTypeScope="" ma:versionID="9780ed59e19bb0842c35d72ff92e76ef">
  <xsd:schema xmlns:xsd="http://www.w3.org/2001/XMLSchema" xmlns:xs="http://www.w3.org/2001/XMLSchema" xmlns:p="http://schemas.microsoft.com/office/2006/metadata/properties" xmlns:ns2="a0ba9fa7-5bf5-4390-b087-3c0a46532ba7" xmlns:ns3="87796816-ee84-4612-9d42-257c84b60ab5" targetNamespace="http://schemas.microsoft.com/office/2006/metadata/properties" ma:root="true" ma:fieldsID="81bd26c6cb853c8cd4bce625f2d57aa0" ns2:_="" ns3:_="">
    <xsd:import namespace="a0ba9fa7-5bf5-4390-b087-3c0a46532ba7"/>
    <xsd:import namespace="87796816-ee84-4612-9d42-257c84b6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9fa7-5bf5-4390-b087-3c0a46532b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Thẻ Hình ảnh" ma:readOnly="false" ma:fieldId="{5cf76f15-5ced-4ddc-b409-7134ff3c332f}" ma:taxonomyMulti="true" ma:sspId="b775d2bf-7987-4aa6-bb22-29e9083b71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96816-ee84-4612-9d42-257c84b60ab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08e9c3b-0cc5-4ea4-84e4-cbe672bd6c79}" ma:internalName="TaxCatchAll" ma:showField="CatchAllData" ma:web="87796816-ee84-4612-9d42-257c84b60a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756F98-8BF1-4E03-87E2-A5B630CC847C}">
  <ds:schemaRefs>
    <ds:schemaRef ds:uri="http://schemas.microsoft.com/office/2006/metadata/properties"/>
    <ds:schemaRef ds:uri="http://schemas.microsoft.com/office/infopath/2007/PartnerControls"/>
    <ds:schemaRef ds:uri="87796816-ee84-4612-9d42-257c84b60ab5"/>
    <ds:schemaRef ds:uri="a0ba9fa7-5bf5-4390-b087-3c0a46532ba7"/>
  </ds:schemaRefs>
</ds:datastoreItem>
</file>

<file path=customXml/itemProps2.xml><?xml version="1.0" encoding="utf-8"?>
<ds:datastoreItem xmlns:ds="http://schemas.openxmlformats.org/officeDocument/2006/customXml" ds:itemID="{143F196C-C465-4E6C-AB4F-F0CF3B6433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ba9fa7-5bf5-4390-b087-3c0a46532ba7"/>
    <ds:schemaRef ds:uri="87796816-ee84-4612-9d42-257c84b6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8230CA-3709-4142-AC2E-55D1E2CEB3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 lâm sàng</vt:lpstr>
      <vt:lpstr>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dung ha</cp:lastModifiedBy>
  <cp:revision/>
  <dcterms:created xsi:type="dcterms:W3CDTF">2024-10-09T16:50:37Z</dcterms:created>
  <dcterms:modified xsi:type="dcterms:W3CDTF">2026-03-04T11:09:23Z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0x0101003D2A4C11DE825641BD63C1373B1DCFA6</vt:lpwstr>
  </property>
  <property fmtid="{D5CDD505-2E9C-101B-9397-08002B2CF9AE}" pid="3" name="MediaServiceImageTags">
    <vt:lpwstr/>
  </property>
</Properties>
</file>