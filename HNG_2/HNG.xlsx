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XN\du-an-dung-chung\HNG_2\"/>
    </mc:Choice>
  </mc:AlternateContent>
  <xr:revisionPtr revIDLastSave="0" documentId="13_ncr:1_{306DE8C9-A642-45DB-969A-A479D594805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0" hidden="1">Sheet1!$A$1:$V$177</definedName>
    <definedName name="_xlnm._FilterDatabase" localSheetId="2" hidden="1">Sheet3!$A$1:$O$195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4" l="1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2" i="4"/>
  <c r="C3" i="4"/>
  <c r="D3" i="4" s="1"/>
  <c r="C4" i="4"/>
  <c r="D4" i="4" s="1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D27" i="4" s="1"/>
  <c r="C28" i="4"/>
  <c r="D28" i="4" s="1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2" i="4"/>
  <c r="L3" i="3"/>
  <c r="M3" i="3" s="1"/>
  <c r="L4" i="3"/>
  <c r="M4" i="3" s="1"/>
  <c r="L5" i="3"/>
  <c r="L6" i="3"/>
  <c r="L7" i="3"/>
  <c r="M7" i="3" s="1"/>
  <c r="L8" i="3"/>
  <c r="L9" i="3"/>
  <c r="M9" i="3" s="1"/>
  <c r="L10" i="3"/>
  <c r="M10" i="3" s="1"/>
  <c r="L11" i="3"/>
  <c r="M11" i="3" s="1"/>
  <c r="L12" i="3"/>
  <c r="M12" i="3" s="1"/>
  <c r="L13" i="3"/>
  <c r="M13" i="3" s="1"/>
  <c r="L14" i="3"/>
  <c r="M14" i="3" s="1"/>
  <c r="L15" i="3"/>
  <c r="M15" i="3" s="1"/>
  <c r="L16" i="3"/>
  <c r="M16" i="3" s="1"/>
  <c r="L17" i="3"/>
  <c r="M17" i="3" s="1"/>
  <c r="L18" i="3"/>
  <c r="M18" i="3" s="1"/>
  <c r="L19" i="3"/>
  <c r="M19" i="3" s="1"/>
  <c r="L20" i="3"/>
  <c r="M20" i="3" s="1"/>
  <c r="L21" i="3"/>
  <c r="M21" i="3" s="1"/>
  <c r="L22" i="3"/>
  <c r="M22" i="3" s="1"/>
  <c r="L23" i="3"/>
  <c r="M23" i="3" s="1"/>
  <c r="L24" i="3"/>
  <c r="M24" i="3" s="1"/>
  <c r="L25" i="3"/>
  <c r="M25" i="3" s="1"/>
  <c r="L26" i="3"/>
  <c r="M26" i="3" s="1"/>
  <c r="L27" i="3"/>
  <c r="M27" i="3" s="1"/>
  <c r="L28" i="3"/>
  <c r="M28" i="3" s="1"/>
  <c r="L29" i="3"/>
  <c r="M29" i="3" s="1"/>
  <c r="L30" i="3"/>
  <c r="M30" i="3" s="1"/>
  <c r="L31" i="3"/>
  <c r="M31" i="3" s="1"/>
  <c r="L32" i="3"/>
  <c r="L33" i="3"/>
  <c r="L34" i="3"/>
  <c r="M34" i="3" s="1"/>
  <c r="L35" i="3"/>
  <c r="M35" i="3" s="1"/>
  <c r="L36" i="3"/>
  <c r="M36" i="3" s="1"/>
  <c r="L37" i="3"/>
  <c r="M37" i="3" s="1"/>
  <c r="L38" i="3"/>
  <c r="M38" i="3" s="1"/>
  <c r="L39" i="3"/>
  <c r="M39" i="3" s="1"/>
  <c r="L40" i="3"/>
  <c r="M40" i="3" s="1"/>
  <c r="L41" i="3"/>
  <c r="M41" i="3" s="1"/>
  <c r="L42" i="3"/>
  <c r="M42" i="3" s="1"/>
  <c r="L43" i="3"/>
  <c r="M43" i="3" s="1"/>
  <c r="L44" i="3"/>
  <c r="M44" i="3" s="1"/>
  <c r="L45" i="3"/>
  <c r="M45" i="3" s="1"/>
  <c r="L46" i="3"/>
  <c r="M46" i="3" s="1"/>
  <c r="L47" i="3"/>
  <c r="M47" i="3" s="1"/>
  <c r="L48" i="3"/>
  <c r="M48" i="3" s="1"/>
  <c r="L49" i="3"/>
  <c r="M49" i="3" s="1"/>
  <c r="L50" i="3"/>
  <c r="M50" i="3" s="1"/>
  <c r="L51" i="3"/>
  <c r="M51" i="3" s="1"/>
  <c r="L52" i="3"/>
  <c r="M52" i="3" s="1"/>
  <c r="L53" i="3"/>
  <c r="M53" i="3" s="1"/>
  <c r="L54" i="3"/>
  <c r="M54" i="3" s="1"/>
  <c r="L55" i="3"/>
  <c r="M55" i="3" s="1"/>
  <c r="L56" i="3"/>
  <c r="M56" i="3" s="1"/>
  <c r="L57" i="3"/>
  <c r="M57" i="3" s="1"/>
  <c r="L58" i="3"/>
  <c r="M58" i="3" s="1"/>
  <c r="L59" i="3"/>
  <c r="M59" i="3" s="1"/>
  <c r="L60" i="3"/>
  <c r="M60" i="3" s="1"/>
  <c r="L61" i="3"/>
  <c r="M61" i="3" s="1"/>
  <c r="L62" i="3"/>
  <c r="M62" i="3" s="1"/>
  <c r="L63" i="3"/>
  <c r="M63" i="3" s="1"/>
  <c r="L64" i="3"/>
  <c r="M64" i="3" s="1"/>
  <c r="L65" i="3"/>
  <c r="M65" i="3" s="1"/>
  <c r="L66" i="3"/>
  <c r="M66" i="3" s="1"/>
  <c r="L67" i="3"/>
  <c r="M67" i="3" s="1"/>
  <c r="L68" i="3"/>
  <c r="M68" i="3" s="1"/>
  <c r="L69" i="3"/>
  <c r="M69" i="3" s="1"/>
  <c r="L70" i="3"/>
  <c r="M70" i="3" s="1"/>
  <c r="L71" i="3"/>
  <c r="M71" i="3" s="1"/>
  <c r="L72" i="3"/>
  <c r="M72" i="3" s="1"/>
  <c r="L73" i="3"/>
  <c r="M73" i="3" s="1"/>
  <c r="L74" i="3"/>
  <c r="M74" i="3" s="1"/>
  <c r="L75" i="3"/>
  <c r="M75" i="3" s="1"/>
  <c r="L76" i="3"/>
  <c r="M76" i="3" s="1"/>
  <c r="L77" i="3"/>
  <c r="M77" i="3" s="1"/>
  <c r="L78" i="3"/>
  <c r="M78" i="3" s="1"/>
  <c r="L79" i="3"/>
  <c r="M79" i="3" s="1"/>
  <c r="L80" i="3"/>
  <c r="M80" i="3" s="1"/>
  <c r="L81" i="3"/>
  <c r="M81" i="3" s="1"/>
  <c r="L82" i="3"/>
  <c r="M82" i="3" s="1"/>
  <c r="L83" i="3"/>
  <c r="M83" i="3" s="1"/>
  <c r="L84" i="3"/>
  <c r="M84" i="3" s="1"/>
  <c r="L85" i="3"/>
  <c r="M85" i="3" s="1"/>
  <c r="L86" i="3"/>
  <c r="M86" i="3" s="1"/>
  <c r="L87" i="3"/>
  <c r="M87" i="3" s="1"/>
  <c r="L88" i="3"/>
  <c r="M88" i="3" s="1"/>
  <c r="L89" i="3"/>
  <c r="M89" i="3" s="1"/>
  <c r="L90" i="3"/>
  <c r="M90" i="3" s="1"/>
  <c r="L91" i="3"/>
  <c r="M91" i="3" s="1"/>
  <c r="L92" i="3"/>
  <c r="M92" i="3" s="1"/>
  <c r="L93" i="3"/>
  <c r="M93" i="3" s="1"/>
  <c r="L94" i="3"/>
  <c r="M94" i="3" s="1"/>
  <c r="L95" i="3"/>
  <c r="M95" i="3" s="1"/>
  <c r="L96" i="3"/>
  <c r="M96" i="3" s="1"/>
  <c r="L97" i="3"/>
  <c r="M97" i="3" s="1"/>
  <c r="L98" i="3"/>
  <c r="M98" i="3" s="1"/>
  <c r="L99" i="3"/>
  <c r="M99" i="3" s="1"/>
  <c r="L100" i="3"/>
  <c r="M100" i="3" s="1"/>
  <c r="L101" i="3"/>
  <c r="M101" i="3" s="1"/>
  <c r="L102" i="3"/>
  <c r="M102" i="3" s="1"/>
  <c r="L103" i="3"/>
  <c r="M103" i="3" s="1"/>
  <c r="L104" i="3"/>
  <c r="M104" i="3" s="1"/>
  <c r="L105" i="3"/>
  <c r="M105" i="3" s="1"/>
  <c r="L106" i="3"/>
  <c r="M106" i="3" s="1"/>
  <c r="L107" i="3"/>
  <c r="M107" i="3" s="1"/>
  <c r="L108" i="3"/>
  <c r="M108" i="3" s="1"/>
  <c r="L109" i="3"/>
  <c r="M109" i="3" s="1"/>
  <c r="L110" i="3"/>
  <c r="M110" i="3" s="1"/>
  <c r="L111" i="3"/>
  <c r="M111" i="3" s="1"/>
  <c r="L112" i="3"/>
  <c r="M112" i="3" s="1"/>
  <c r="L113" i="3"/>
  <c r="M113" i="3" s="1"/>
  <c r="L114" i="3"/>
  <c r="M114" i="3" s="1"/>
  <c r="L115" i="3"/>
  <c r="M115" i="3" s="1"/>
  <c r="L116" i="3"/>
  <c r="M116" i="3" s="1"/>
  <c r="L117" i="3"/>
  <c r="M117" i="3" s="1"/>
  <c r="L118" i="3"/>
  <c r="M118" i="3" s="1"/>
  <c r="L119" i="3"/>
  <c r="M119" i="3" s="1"/>
  <c r="L120" i="3"/>
  <c r="M120" i="3" s="1"/>
  <c r="L121" i="3"/>
  <c r="M121" i="3" s="1"/>
  <c r="L122" i="3"/>
  <c r="M122" i="3" s="1"/>
  <c r="L123" i="3"/>
  <c r="M123" i="3" s="1"/>
  <c r="L124" i="3"/>
  <c r="M124" i="3" s="1"/>
  <c r="L125" i="3"/>
  <c r="M125" i="3" s="1"/>
  <c r="L126" i="3"/>
  <c r="L127" i="3"/>
  <c r="M127" i="3" s="1"/>
  <c r="L128" i="3"/>
  <c r="L129" i="3"/>
  <c r="L130" i="3"/>
  <c r="M130" i="3" s="1"/>
  <c r="L131" i="3"/>
  <c r="M131" i="3" s="1"/>
  <c r="L132" i="3"/>
  <c r="M132" i="3" s="1"/>
  <c r="L133" i="3"/>
  <c r="M133" i="3" s="1"/>
  <c r="L134" i="3"/>
  <c r="M134" i="3" s="1"/>
  <c r="L135" i="3"/>
  <c r="M135" i="3" s="1"/>
  <c r="L136" i="3"/>
  <c r="M136" i="3" s="1"/>
  <c r="L137" i="3"/>
  <c r="M137" i="3" s="1"/>
  <c r="L138" i="3"/>
  <c r="M138" i="3" s="1"/>
  <c r="L139" i="3"/>
  <c r="M139" i="3" s="1"/>
  <c r="L140" i="3"/>
  <c r="M140" i="3" s="1"/>
  <c r="L141" i="3"/>
  <c r="M141" i="3" s="1"/>
  <c r="L142" i="3"/>
  <c r="M142" i="3" s="1"/>
  <c r="L143" i="3"/>
  <c r="M143" i="3" s="1"/>
  <c r="L144" i="3"/>
  <c r="M144" i="3" s="1"/>
  <c r="L145" i="3"/>
  <c r="M145" i="3" s="1"/>
  <c r="L146" i="3"/>
  <c r="M146" i="3" s="1"/>
  <c r="L147" i="3"/>
  <c r="M147" i="3" s="1"/>
  <c r="L148" i="3"/>
  <c r="M148" i="3" s="1"/>
  <c r="L149" i="3"/>
  <c r="M149" i="3" s="1"/>
  <c r="L150" i="3"/>
  <c r="M150" i="3" s="1"/>
  <c r="L151" i="3"/>
  <c r="M151" i="3" s="1"/>
  <c r="L152" i="3"/>
  <c r="M152" i="3" s="1"/>
  <c r="L153" i="3"/>
  <c r="M153" i="3" s="1"/>
  <c r="L154" i="3"/>
  <c r="M154" i="3" s="1"/>
  <c r="L155" i="3"/>
  <c r="M155" i="3" s="1"/>
  <c r="L156" i="3"/>
  <c r="M156" i="3" s="1"/>
  <c r="L157" i="3"/>
  <c r="M157" i="3" s="1"/>
  <c r="L158" i="3"/>
  <c r="M158" i="3" s="1"/>
  <c r="L159" i="3"/>
  <c r="M159" i="3" s="1"/>
  <c r="L160" i="3"/>
  <c r="M160" i="3" s="1"/>
  <c r="L161" i="3"/>
  <c r="M161" i="3" s="1"/>
  <c r="L162" i="3"/>
  <c r="M162" i="3" s="1"/>
  <c r="L163" i="3"/>
  <c r="M163" i="3" s="1"/>
  <c r="L164" i="3"/>
  <c r="M164" i="3" s="1"/>
  <c r="L165" i="3"/>
  <c r="M165" i="3" s="1"/>
  <c r="L166" i="3"/>
  <c r="M166" i="3" s="1"/>
  <c r="L167" i="3"/>
  <c r="M167" i="3" s="1"/>
  <c r="L168" i="3"/>
  <c r="M168" i="3" s="1"/>
  <c r="L169" i="3"/>
  <c r="M169" i="3" s="1"/>
  <c r="L170" i="3"/>
  <c r="M170" i="3" s="1"/>
  <c r="L171" i="3"/>
  <c r="M171" i="3" s="1"/>
  <c r="L172" i="3"/>
  <c r="M172" i="3" s="1"/>
  <c r="L173" i="3"/>
  <c r="M173" i="3" s="1"/>
  <c r="L174" i="3"/>
  <c r="M174" i="3" s="1"/>
  <c r="L175" i="3"/>
  <c r="M175" i="3" s="1"/>
  <c r="L176" i="3"/>
  <c r="L177" i="3"/>
  <c r="M177" i="3" s="1"/>
  <c r="L178" i="3"/>
  <c r="M178" i="3" s="1"/>
  <c r="L179" i="3"/>
  <c r="M179" i="3" s="1"/>
  <c r="L180" i="3"/>
  <c r="M180" i="3" s="1"/>
  <c r="L181" i="3"/>
  <c r="M181" i="3" s="1"/>
  <c r="L182" i="3"/>
  <c r="M182" i="3" s="1"/>
  <c r="L183" i="3"/>
  <c r="M183" i="3" s="1"/>
  <c r="L184" i="3"/>
  <c r="M184" i="3" s="1"/>
  <c r="L185" i="3"/>
  <c r="M185" i="3" s="1"/>
  <c r="L186" i="3"/>
  <c r="M186" i="3" s="1"/>
  <c r="L187" i="3"/>
  <c r="M187" i="3" s="1"/>
  <c r="L188" i="3"/>
  <c r="M188" i="3" s="1"/>
  <c r="L189" i="3"/>
  <c r="M189" i="3" s="1"/>
  <c r="L190" i="3"/>
  <c r="M190" i="3" s="1"/>
  <c r="L191" i="3"/>
  <c r="M191" i="3" s="1"/>
  <c r="L192" i="3"/>
  <c r="M192" i="3" s="1"/>
  <c r="L193" i="3"/>
  <c r="M193" i="3" s="1"/>
  <c r="L194" i="3"/>
  <c r="M194" i="3" s="1"/>
  <c r="L195" i="3"/>
  <c r="M195" i="3" s="1"/>
  <c r="L2" i="3"/>
  <c r="M2" i="3" s="1"/>
  <c r="M5" i="3"/>
  <c r="M6" i="3"/>
  <c r="M8" i="3"/>
  <c r="M32" i="3"/>
  <c r="M33" i="3"/>
  <c r="M126" i="3"/>
  <c r="M128" i="3"/>
  <c r="M129" i="3"/>
  <c r="M176" i="3"/>
  <c r="K76" i="3"/>
  <c r="K77" i="3"/>
  <c r="K78" i="3"/>
  <c r="K79" i="3"/>
  <c r="K80" i="3"/>
  <c r="K81" i="3"/>
  <c r="K82" i="3"/>
  <c r="K83" i="3"/>
  <c r="K84" i="3"/>
  <c r="K85" i="3"/>
  <c r="K87" i="3"/>
  <c r="K88" i="3"/>
  <c r="K89" i="3"/>
  <c r="K90" i="3"/>
  <c r="K91" i="3"/>
  <c r="K92" i="3"/>
  <c r="K93" i="3"/>
  <c r="K94" i="3"/>
  <c r="K95" i="3"/>
  <c r="K96" i="3"/>
  <c r="K97" i="3"/>
  <c r="K99" i="3"/>
  <c r="K100" i="3"/>
  <c r="K101" i="3"/>
  <c r="K102" i="3"/>
  <c r="K103" i="3"/>
  <c r="K104" i="3"/>
  <c r="K106" i="3"/>
  <c r="K108" i="3"/>
  <c r="K110" i="3"/>
  <c r="K112" i="3"/>
  <c r="K105" i="3"/>
  <c r="K107" i="3"/>
  <c r="K109" i="3"/>
  <c r="K111" i="3"/>
  <c r="K113" i="3"/>
  <c r="K98" i="3"/>
  <c r="K118" i="3"/>
  <c r="K119" i="3"/>
  <c r="K114" i="3"/>
  <c r="K116" i="3"/>
  <c r="K115" i="3"/>
  <c r="K117" i="3"/>
  <c r="K120" i="3"/>
  <c r="K122" i="3"/>
  <c r="K121" i="3"/>
  <c r="K123" i="3"/>
  <c r="K124" i="3"/>
  <c r="K125" i="3"/>
  <c r="K126" i="3"/>
  <c r="K127" i="3"/>
  <c r="K128" i="3"/>
  <c r="K129" i="3"/>
  <c r="K2" i="3"/>
  <c r="K3" i="3"/>
  <c r="K4" i="3"/>
  <c r="K130" i="3"/>
  <c r="K5" i="3"/>
  <c r="K6" i="3"/>
  <c r="K7" i="3"/>
  <c r="K8" i="3"/>
  <c r="K9" i="3"/>
  <c r="K10" i="3"/>
  <c r="K11" i="3"/>
  <c r="K12" i="3"/>
  <c r="K13" i="3"/>
  <c r="K14" i="3"/>
  <c r="K15" i="3"/>
  <c r="K16" i="3"/>
  <c r="K131" i="3"/>
  <c r="K132" i="3"/>
  <c r="K133" i="3"/>
  <c r="K17" i="3"/>
  <c r="K18" i="3"/>
  <c r="K134" i="3"/>
  <c r="K135" i="3"/>
  <c r="K136" i="3"/>
  <c r="K137" i="3"/>
  <c r="K138" i="3"/>
  <c r="K24" i="3"/>
  <c r="K25" i="3"/>
  <c r="K26" i="3"/>
  <c r="K27" i="3"/>
  <c r="K28" i="3"/>
  <c r="K29" i="3"/>
  <c r="K30" i="3"/>
  <c r="K35" i="3"/>
  <c r="K36" i="3"/>
  <c r="K37" i="3"/>
  <c r="K38" i="3"/>
  <c r="K141" i="3"/>
  <c r="K142" i="3"/>
  <c r="K143" i="3"/>
  <c r="K144" i="3"/>
  <c r="K145" i="3"/>
  <c r="K147" i="3"/>
  <c r="K39" i="3"/>
  <c r="K40" i="3"/>
  <c r="K41" i="3"/>
  <c r="K42" i="3"/>
  <c r="K46" i="3"/>
  <c r="K43" i="3"/>
  <c r="K44" i="3"/>
  <c r="K45" i="3"/>
  <c r="K47" i="3"/>
  <c r="K48" i="3"/>
  <c r="K49" i="3"/>
  <c r="K50" i="3"/>
  <c r="K51" i="3"/>
  <c r="K146" i="3"/>
  <c r="K148" i="3"/>
  <c r="K149" i="3"/>
  <c r="K150" i="3"/>
  <c r="K52" i="3"/>
  <c r="K53" i="3"/>
  <c r="K54" i="3"/>
  <c r="K55" i="3"/>
  <c r="K56" i="3"/>
  <c r="K151" i="3"/>
  <c r="K152" i="3"/>
  <c r="K153" i="3"/>
  <c r="K154" i="3"/>
  <c r="K57" i="3"/>
  <c r="K58" i="3"/>
  <c r="K59" i="3"/>
  <c r="K60" i="3"/>
  <c r="K61" i="3"/>
  <c r="K62" i="3"/>
  <c r="K63" i="3"/>
  <c r="K64" i="3"/>
  <c r="K65" i="3"/>
  <c r="K66" i="3"/>
  <c r="K155" i="3"/>
  <c r="K156" i="3"/>
  <c r="K157" i="3"/>
  <c r="K158" i="3"/>
  <c r="K159" i="3"/>
  <c r="K160" i="3"/>
  <c r="K161" i="3"/>
  <c r="K162" i="3"/>
  <c r="K68" i="3"/>
  <c r="K69" i="3"/>
  <c r="K70" i="3"/>
  <c r="K166" i="3"/>
  <c r="K163" i="3"/>
  <c r="K165" i="3"/>
  <c r="K67" i="3"/>
  <c r="K19" i="3"/>
  <c r="K20" i="3"/>
  <c r="K21" i="3"/>
  <c r="K22" i="3"/>
  <c r="K23" i="3"/>
  <c r="K31" i="3"/>
  <c r="K32" i="3"/>
  <c r="K33" i="3"/>
  <c r="K34" i="3"/>
  <c r="K71" i="3"/>
  <c r="K139" i="3"/>
  <c r="K140" i="3"/>
  <c r="K164" i="3"/>
  <c r="K167" i="3"/>
  <c r="K168" i="3"/>
  <c r="K169" i="3"/>
  <c r="K170" i="3"/>
  <c r="K171" i="3"/>
  <c r="K172" i="3"/>
  <c r="K173" i="3"/>
  <c r="K174" i="3"/>
  <c r="K175" i="3"/>
  <c r="K176" i="3"/>
  <c r="K177" i="3"/>
  <c r="K72" i="3"/>
  <c r="K73" i="3"/>
  <c r="K74" i="3"/>
  <c r="K178" i="3"/>
  <c r="K179" i="3"/>
  <c r="K75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86" i="3"/>
  <c r="C5" i="2" l="1"/>
  <c r="C4" i="2"/>
  <c r="C3" i="2"/>
  <c r="C2" i="2"/>
  <c r="B5" i="2"/>
  <c r="B4" i="2"/>
  <c r="B3" i="2"/>
  <c r="B2" i="2"/>
  <c r="D2" i="2" l="1"/>
  <c r="D3" i="2"/>
  <c r="D4" i="2"/>
  <c r="D5" i="2"/>
</calcChain>
</file>

<file path=xl/sharedStrings.xml><?xml version="1.0" encoding="utf-8"?>
<sst xmlns="http://schemas.openxmlformats.org/spreadsheetml/2006/main" count="3041" uniqueCount="492">
  <si>
    <t>SampleID</t>
  </si>
  <si>
    <t>Labcode</t>
  </si>
  <si>
    <t>Label</t>
  </si>
  <si>
    <t>Class</t>
  </si>
  <si>
    <t>Type</t>
  </si>
  <si>
    <t>Subtype</t>
  </si>
  <si>
    <t>Age</t>
  </si>
  <si>
    <t>Gender</t>
  </si>
  <si>
    <t>Stage</t>
  </si>
  <si>
    <t>Source</t>
  </si>
  <si>
    <t>Input</t>
  </si>
  <si>
    <t>Input class</t>
  </si>
  <si>
    <t>Run</t>
  </si>
  <si>
    <t>HNGH001</t>
  </si>
  <si>
    <t>Healthy</t>
  </si>
  <si>
    <t>M</t>
  </si>
  <si>
    <t>Gastric Dr Dung</t>
  </si>
  <si>
    <t>x&gt;=3</t>
  </si>
  <si>
    <t>R6885</t>
  </si>
  <si>
    <t>HNGH002</t>
  </si>
  <si>
    <t>F</t>
  </si>
  <si>
    <t>HNGH003</t>
  </si>
  <si>
    <t>2&lt;=x&lt;3</t>
  </si>
  <si>
    <t>HNGH004</t>
  </si>
  <si>
    <t>R6898</t>
  </si>
  <si>
    <t>HNGH005</t>
  </si>
  <si>
    <t>R6914</t>
  </si>
  <si>
    <t>HNGH006</t>
  </si>
  <si>
    <t>HNGH007</t>
  </si>
  <si>
    <t>HNGH008</t>
  </si>
  <si>
    <t>HNGH009</t>
  </si>
  <si>
    <t>HNGH010</t>
  </si>
  <si>
    <t>HNGH011</t>
  </si>
  <si>
    <t>HNGH012</t>
  </si>
  <si>
    <t>HNGH013</t>
  </si>
  <si>
    <t>HNGH014</t>
  </si>
  <si>
    <t>HNGH015</t>
  </si>
  <si>
    <t>HNGH016</t>
  </si>
  <si>
    <t>HNGH017</t>
  </si>
  <si>
    <t>R6926</t>
  </si>
  <si>
    <t>HNGH018</t>
  </si>
  <si>
    <t>HNGH024</t>
  </si>
  <si>
    <t>R6958</t>
  </si>
  <si>
    <t>HNGH025</t>
  </si>
  <si>
    <t>HNGH026</t>
  </si>
  <si>
    <t>HNGH027</t>
  </si>
  <si>
    <t>HNGH028</t>
  </si>
  <si>
    <t>HNGH029</t>
  </si>
  <si>
    <t>HNGH030</t>
  </si>
  <si>
    <t>HNGH035</t>
  </si>
  <si>
    <t>HNGH036</t>
  </si>
  <si>
    <t>HNGH037</t>
  </si>
  <si>
    <t>HNGH038</t>
  </si>
  <si>
    <t>HNGH039</t>
  </si>
  <si>
    <t>R6987</t>
  </si>
  <si>
    <t>HNGH040</t>
  </si>
  <si>
    <t>HNGH041</t>
  </si>
  <si>
    <t>HNGH042</t>
  </si>
  <si>
    <t>HNGH043</t>
  </si>
  <si>
    <t>R6973</t>
  </si>
  <si>
    <t>HNGH044</t>
  </si>
  <si>
    <t>HNGH045</t>
  </si>
  <si>
    <t>HNGH046</t>
  </si>
  <si>
    <t>HNGH047</t>
  </si>
  <si>
    <t>HNGH048</t>
  </si>
  <si>
    <t>HNGH049</t>
  </si>
  <si>
    <t>HNGH050</t>
  </si>
  <si>
    <t>HNGH051</t>
  </si>
  <si>
    <t>R7017</t>
  </si>
  <si>
    <t>HNGH052</t>
  </si>
  <si>
    <t>HNGH053</t>
  </si>
  <si>
    <t>HNGH054</t>
  </si>
  <si>
    <t>HNGH055</t>
  </si>
  <si>
    <t>HNGH056</t>
  </si>
  <si>
    <t>HNGH057</t>
  </si>
  <si>
    <t>HNGH058</t>
  </si>
  <si>
    <t>HNGH059</t>
  </si>
  <si>
    <t>HNGH060</t>
  </si>
  <si>
    <t>Healthy_thumausai</t>
  </si>
  <si>
    <t>HNGH062</t>
  </si>
  <si>
    <t>HNGH063</t>
  </si>
  <si>
    <t>HNGH064</t>
  </si>
  <si>
    <t>HNGH065</t>
  </si>
  <si>
    <t>HNGH066</t>
  </si>
  <si>
    <t>HNGH067</t>
  </si>
  <si>
    <t>HNGK001</t>
  </si>
  <si>
    <t>Gastric_precancerous</t>
  </si>
  <si>
    <t>Dysplasia</t>
  </si>
  <si>
    <t>NA</t>
  </si>
  <si>
    <t>R6384</t>
  </si>
  <si>
    <t>Gastric</t>
  </si>
  <si>
    <t>HNGK002</t>
  </si>
  <si>
    <t>IIIB</t>
  </si>
  <si>
    <t>R6111</t>
  </si>
  <si>
    <t>HNGK003</t>
  </si>
  <si>
    <t>IIA</t>
  </si>
  <si>
    <t>HNGK004</t>
  </si>
  <si>
    <t>IA</t>
  </si>
  <si>
    <t>HNGK005</t>
  </si>
  <si>
    <t>IB</t>
  </si>
  <si>
    <t>HNGK006</t>
  </si>
  <si>
    <t>IIIC</t>
  </si>
  <si>
    <t>HNGK007</t>
  </si>
  <si>
    <t>HNGK008</t>
  </si>
  <si>
    <t>HNGK009</t>
  </si>
  <si>
    <t>HNGK010</t>
  </si>
  <si>
    <t>HNGK011</t>
  </si>
  <si>
    <t>R6386</t>
  </si>
  <si>
    <t>HNGK013</t>
  </si>
  <si>
    <t>HNGK014</t>
  </si>
  <si>
    <t>HNGK015</t>
  </si>
  <si>
    <t>IIIA</t>
  </si>
  <si>
    <t>HNGK016</t>
  </si>
  <si>
    <t>HNGK017</t>
  </si>
  <si>
    <t>R6448</t>
  </si>
  <si>
    <t>HNGK018</t>
  </si>
  <si>
    <t>HNGK019</t>
  </si>
  <si>
    <t>R6480</t>
  </si>
  <si>
    <t>HNGK020</t>
  </si>
  <si>
    <t>R6522</t>
  </si>
  <si>
    <t>HNGK021</t>
  </si>
  <si>
    <t>HNGK022</t>
  </si>
  <si>
    <t>R6555</t>
  </si>
  <si>
    <t>HNGK023</t>
  </si>
  <si>
    <t>HNGK024</t>
  </si>
  <si>
    <t>HNGK025</t>
  </si>
  <si>
    <t>R6582</t>
  </si>
  <si>
    <t>HNGK026</t>
  </si>
  <si>
    <t>HNGK027</t>
  </si>
  <si>
    <t>R6655</t>
  </si>
  <si>
    <t>HNGK028</t>
  </si>
  <si>
    <t>HNGK029</t>
  </si>
  <si>
    <t>R6614</t>
  </si>
  <si>
    <t>HNGK030</t>
  </si>
  <si>
    <t>IIB</t>
  </si>
  <si>
    <t>R6749</t>
  </si>
  <si>
    <t>HNGK031</t>
  </si>
  <si>
    <t>HNGK032</t>
  </si>
  <si>
    <t>HNGK033</t>
  </si>
  <si>
    <t>HNGK034</t>
  </si>
  <si>
    <t>HNGK035</t>
  </si>
  <si>
    <t>HNGK036</t>
  </si>
  <si>
    <t>Gastric_thumausai</t>
  </si>
  <si>
    <t>HNGK037</t>
  </si>
  <si>
    <t>HNGK038</t>
  </si>
  <si>
    <t>HNGK039</t>
  </si>
  <si>
    <t>HNGK040</t>
  </si>
  <si>
    <t>HNGK041</t>
  </si>
  <si>
    <t>HNGK042</t>
  </si>
  <si>
    <t>HNGK043</t>
  </si>
  <si>
    <t>HNGK044</t>
  </si>
  <si>
    <t>HNGK047</t>
  </si>
  <si>
    <t>HNGK048</t>
  </si>
  <si>
    <t>HNGK049</t>
  </si>
  <si>
    <t>HNGK050</t>
  </si>
  <si>
    <t>HNGK051</t>
  </si>
  <si>
    <t>HNGK052</t>
  </si>
  <si>
    <t>HNGK053</t>
  </si>
  <si>
    <t>HNGK054</t>
  </si>
  <si>
    <t>HNGK055</t>
  </si>
  <si>
    <t>HNGK056</t>
  </si>
  <si>
    <t>HNGK057</t>
  </si>
  <si>
    <t>HNGK058</t>
  </si>
  <si>
    <t>HNGK059</t>
  </si>
  <si>
    <t>HNGK060</t>
  </si>
  <si>
    <t>HNGK061</t>
  </si>
  <si>
    <t>HNGK062</t>
  </si>
  <si>
    <t>HNGK063</t>
  </si>
  <si>
    <t>HNGK064</t>
  </si>
  <si>
    <t>HNGK065</t>
  </si>
  <si>
    <t>HNGK066</t>
  </si>
  <si>
    <t>HNGK067</t>
  </si>
  <si>
    <t>HNGK068</t>
  </si>
  <si>
    <t>HNGK012</t>
  </si>
  <si>
    <t>HNGK045</t>
  </si>
  <si>
    <t>HNGK046</t>
  </si>
  <si>
    <t>HNGK069</t>
  </si>
  <si>
    <t>HNGK070</t>
  </si>
  <si>
    <t>HNGK071</t>
  </si>
  <si>
    <t>HNGK072</t>
  </si>
  <si>
    <t>HNGK073</t>
  </si>
  <si>
    <t>HNGK074</t>
  </si>
  <si>
    <t>HNGH019</t>
  </si>
  <si>
    <t>HNGH020</t>
  </si>
  <si>
    <t>HNGH021</t>
  </si>
  <si>
    <t>HNGH022</t>
  </si>
  <si>
    <t>HNGH023</t>
  </si>
  <si>
    <t>HNGH031</t>
  </si>
  <si>
    <t>HNGH032</t>
  </si>
  <si>
    <t>HNGH033</t>
  </si>
  <si>
    <t>HNGH034</t>
  </si>
  <si>
    <t>HNGH068</t>
  </si>
  <si>
    <t>HNGH069</t>
  </si>
  <si>
    <t>HNGH070</t>
  </si>
  <si>
    <t>HNGH071</t>
  </si>
  <si>
    <t>R6258</t>
  </si>
  <si>
    <t>Gastric cancer</t>
  </si>
  <si>
    <t>Healthy control</t>
  </si>
  <si>
    <t>Tổng số mẫu đã nhận</t>
  </si>
  <si>
    <t>Tổng số đã chạy</t>
  </si>
  <si>
    <t>Gastric cancer thu sai quy cách</t>
  </si>
  <si>
    <t>Healthy control thu sai quy cách</t>
  </si>
  <si>
    <t>Sẽ chạy</t>
  </si>
  <si>
    <t>Stage short</t>
  </si>
  <si>
    <t>R7057</t>
  </si>
  <si>
    <t>R7073</t>
  </si>
  <si>
    <t>DHYHN</t>
  </si>
  <si>
    <t>II</t>
  </si>
  <si>
    <t>I</t>
  </si>
  <si>
    <t>1&lt;=x&lt;2</t>
  </si>
  <si>
    <t>HNGK012R1</t>
  </si>
  <si>
    <t>BV K</t>
  </si>
  <si>
    <t>IV</t>
  </si>
  <si>
    <t>HNGK075</t>
  </si>
  <si>
    <t>HNGH072</t>
  </si>
  <si>
    <t>HNGH073</t>
  </si>
  <si>
    <t>HNGH074</t>
  </si>
  <si>
    <t>HNGH075</t>
  </si>
  <si>
    <t>HNGH076</t>
  </si>
  <si>
    <t>Personel</t>
  </si>
  <si>
    <t>cfDNA concentration (ng/ul)</t>
  </si>
  <si>
    <t>Notes</t>
  </si>
  <si>
    <t>V plasma</t>
  </si>
  <si>
    <t>Cohort</t>
  </si>
  <si>
    <t>Quy trình tách</t>
  </si>
  <si>
    <t>Quy trình chạy</t>
  </si>
  <si>
    <t>Vị trí cất plasma</t>
  </si>
  <si>
    <t>Đã gửi TM 26/11</t>
  </si>
  <si>
    <t>Đã nhận cất hộp Extraction 14/11</t>
  </si>
  <si>
    <t>non-BS</t>
  </si>
  <si>
    <t>Tách máy 1ml</t>
  </si>
  <si>
    <t>nonBS</t>
  </si>
  <si>
    <t>HNGK015 (2)</t>
  </si>
  <si>
    <t>V1</t>
  </si>
  <si>
    <t>HNGK016 (2)</t>
  </si>
  <si>
    <t>HNGK017 (1)</t>
  </si>
  <si>
    <t>Hỏi Huy</t>
  </si>
  <si>
    <t>HNGK017 (2)</t>
  </si>
  <si>
    <t>HNGK018 (1)</t>
  </si>
  <si>
    <t>HNGK018 (2)</t>
  </si>
  <si>
    <t>Tách máy 1 ml</t>
  </si>
  <si>
    <t>NonBS</t>
  </si>
  <si>
    <t>HNGK019 (2)</t>
  </si>
  <si>
    <t>ET2-21</t>
  </si>
  <si>
    <t>Tách tay</t>
  </si>
  <si>
    <t>ET2-22</t>
  </si>
  <si>
    <t>ET2-23</t>
  </si>
  <si>
    <t>ET2-24</t>
  </si>
  <si>
    <t>ET5-81</t>
  </si>
  <si>
    <t>ET5-82</t>
  </si>
  <si>
    <t>ET5-83</t>
  </si>
  <si>
    <t>ET5-84</t>
  </si>
  <si>
    <t>ET5-85</t>
  </si>
  <si>
    <t>ET5-86</t>
  </si>
  <si>
    <t>ET5-87</t>
  </si>
  <si>
    <t>ET5-88</t>
  </si>
  <si>
    <t>ET5-89</t>
  </si>
  <si>
    <t>ET5-90</t>
  </si>
  <si>
    <t>ET5-91</t>
  </si>
  <si>
    <t>V1 (Tách lại do fail lib)</t>
  </si>
  <si>
    <t>ET8-57</t>
  </si>
  <si>
    <t>ET8-58</t>
  </si>
  <si>
    <t>Luyến/Quang</t>
  </si>
  <si>
    <t>ET10-6</t>
  </si>
  <si>
    <t>ET10-7</t>
  </si>
  <si>
    <t>ET10-8</t>
  </si>
  <si>
    <t>ET10-9</t>
  </si>
  <si>
    <t>Ho</t>
  </si>
  <si>
    <t>ET14-7</t>
  </si>
  <si>
    <t>ET14-8</t>
  </si>
  <si>
    <t>ET14-9</t>
  </si>
  <si>
    <t>ET14-10</t>
  </si>
  <si>
    <t>Quang/Huy</t>
  </si>
  <si>
    <t>ET14-19</t>
  </si>
  <si>
    <t>ET14-20</t>
  </si>
  <si>
    <t>ET14-21</t>
  </si>
  <si>
    <t>ET14-22</t>
  </si>
  <si>
    <t>ET16-22</t>
  </si>
  <si>
    <t>ET16-23</t>
  </si>
  <si>
    <t>ET26-14</t>
  </si>
  <si>
    <t>ET26-15</t>
  </si>
  <si>
    <t>ET26-16</t>
  </si>
  <si>
    <t>ET26-17</t>
  </si>
  <si>
    <t>Tách máy 2ml</t>
  </si>
  <si>
    <t>ET30-4</t>
  </si>
  <si>
    <t>ET30-5</t>
  </si>
  <si>
    <t>Hộp HNGH, Tầng 2 trên xuống, cây 1 phải sang, khay 2 dưới lên</t>
  </si>
  <si>
    <t>ET30-6</t>
  </si>
  <si>
    <t>ET30-7</t>
  </si>
  <si>
    <t>ET30-8</t>
  </si>
  <si>
    <t>ET30-9</t>
  </si>
  <si>
    <t>ET30-10</t>
  </si>
  <si>
    <t>ET30-11</t>
  </si>
  <si>
    <t>ET30-12</t>
  </si>
  <si>
    <t>ET30-13</t>
  </si>
  <si>
    <t>ET30-14</t>
  </si>
  <si>
    <t>ET30-15</t>
  </si>
  <si>
    <t>ET30-16</t>
  </si>
  <si>
    <t>Hộp HNGK (2), Tầng 2 trên xuống, cây 1 phải sang, khay 1 trên xuống</t>
  </si>
  <si>
    <t>ET30-18</t>
  </si>
  <si>
    <t>ET30-19</t>
  </si>
  <si>
    <t>ET31-23</t>
  </si>
  <si>
    <t>ET31-24</t>
  </si>
  <si>
    <t>ET32-15</t>
  </si>
  <si>
    <t>ET32-16</t>
  </si>
  <si>
    <t>ET32-17</t>
  </si>
  <si>
    <t>ET32-18</t>
  </si>
  <si>
    <t>ET32-19</t>
  </si>
  <si>
    <t>Luyen</t>
  </si>
  <si>
    <t>ET32-20</t>
  </si>
  <si>
    <t>ET32-21</t>
  </si>
  <si>
    <t>ET32-22</t>
  </si>
  <si>
    <t>ET32-23</t>
  </si>
  <si>
    <t>ET32-24</t>
  </si>
  <si>
    <t>ET32-25</t>
  </si>
  <si>
    <t>ET32-26</t>
  </si>
  <si>
    <t>ET33-27</t>
  </si>
  <si>
    <t>ET33-28</t>
  </si>
  <si>
    <t>ET33-29</t>
  </si>
  <si>
    <t>ET33-30</t>
  </si>
  <si>
    <t>ET33-31</t>
  </si>
  <si>
    <t>ET33-32</t>
  </si>
  <si>
    <t>ET35-24</t>
  </si>
  <si>
    <t>ET35-25</t>
  </si>
  <si>
    <t>ET35-26</t>
  </si>
  <si>
    <t>ET35-27</t>
  </si>
  <si>
    <t>ET35-28</t>
  </si>
  <si>
    <t>ET35-29</t>
  </si>
  <si>
    <t>ET35-30</t>
  </si>
  <si>
    <t>ET35-31</t>
  </si>
  <si>
    <t>ET35-32</t>
  </si>
  <si>
    <t>ET35-33</t>
  </si>
  <si>
    <t>ET35-34</t>
  </si>
  <si>
    <t>ET35-35</t>
  </si>
  <si>
    <t>ET35-36</t>
  </si>
  <si>
    <t>ET35-37</t>
  </si>
  <si>
    <t>ET35-38</t>
  </si>
  <si>
    <t>ET35-39</t>
  </si>
  <si>
    <t>ET35-40</t>
  </si>
  <si>
    <t>ET35-41</t>
  </si>
  <si>
    <t>ET35-42</t>
  </si>
  <si>
    <t>ET35-43</t>
  </si>
  <si>
    <t>ET35-44</t>
  </si>
  <si>
    <t>ET37-20</t>
  </si>
  <si>
    <t>ET37-21</t>
  </si>
  <si>
    <t>ET37-22</t>
  </si>
  <si>
    <t>ET37-23</t>
  </si>
  <si>
    <t>ET37-24</t>
  </si>
  <si>
    <t>ET37-25</t>
  </si>
  <si>
    <t>ET37-26</t>
  </si>
  <si>
    <t>ET37-27</t>
  </si>
  <si>
    <t>ET37-28</t>
  </si>
  <si>
    <t>ET39-8</t>
  </si>
  <si>
    <t>ET39-9</t>
  </si>
  <si>
    <t>ET39-10</t>
  </si>
  <si>
    <t>ET39-11</t>
  </si>
  <si>
    <t>HNGH061</t>
  </si>
  <si>
    <t>Cẩn thận nhầm H với K</t>
  </si>
  <si>
    <t>ET39-13</t>
  </si>
  <si>
    <t>ET39-14</t>
  </si>
  <si>
    <t>ET39-15</t>
  </si>
  <si>
    <t>ET39-16</t>
  </si>
  <si>
    <t>ET39-17</t>
  </si>
  <si>
    <t>ET39-18</t>
  </si>
  <si>
    <t>ET39-19</t>
  </si>
  <si>
    <t>ET39-20</t>
  </si>
  <si>
    <t>ET39-21</t>
  </si>
  <si>
    <t>ET39-22</t>
  </si>
  <si>
    <t>ET39-23</t>
  </si>
  <si>
    <t>Thiếu wash giếng 8B</t>
  </si>
  <si>
    <t>ET39-24</t>
  </si>
  <si>
    <t>Thiếu wash giếng 8A</t>
  </si>
  <si>
    <t>ET39-25</t>
  </si>
  <si>
    <t>ET39-26</t>
  </si>
  <si>
    <t>ET40-29</t>
  </si>
  <si>
    <t>ET40-30</t>
  </si>
  <si>
    <t>ET40-31</t>
  </si>
  <si>
    <t>ET40-32</t>
  </si>
  <si>
    <t>Huy</t>
  </si>
  <si>
    <t>ET40-41</t>
  </si>
  <si>
    <t>ET40-42</t>
  </si>
  <si>
    <t>ET40-43</t>
  </si>
  <si>
    <t>ET41-16</t>
  </si>
  <si>
    <t>ET41-17</t>
  </si>
  <si>
    <t>ET41-18</t>
  </si>
  <si>
    <t>ET41-19</t>
  </si>
  <si>
    <t>ET41-20</t>
  </si>
  <si>
    <t>ET41-21</t>
  </si>
  <si>
    <t>ET41-22</t>
  </si>
  <si>
    <t>ET41-23</t>
  </si>
  <si>
    <t>ET41-24</t>
  </si>
  <si>
    <t>ET41-25</t>
  </si>
  <si>
    <t>ET41-26</t>
  </si>
  <si>
    <t>ET41-27</t>
  </si>
  <si>
    <t>ET41-28</t>
  </si>
  <si>
    <t>ET41-29</t>
  </si>
  <si>
    <t>ET41-30</t>
  </si>
  <si>
    <t>ET41-31</t>
  </si>
  <si>
    <t>ET43-11</t>
  </si>
  <si>
    <t>HNGK076</t>
  </si>
  <si>
    <t>ET43-12</t>
  </si>
  <si>
    <t>HNGK077</t>
  </si>
  <si>
    <t>ET43-13</t>
  </si>
  <si>
    <t>HNGK078</t>
  </si>
  <si>
    <t>ET43-14</t>
  </si>
  <si>
    <t>HNGK079</t>
  </si>
  <si>
    <t>ET43-15</t>
  </si>
  <si>
    <t>HNGK080</t>
  </si>
  <si>
    <t>ET43-16</t>
  </si>
  <si>
    <t>HNGK081</t>
  </si>
  <si>
    <t>ET43-17</t>
  </si>
  <si>
    <t>HNGK082</t>
  </si>
  <si>
    <t>ET43-18</t>
  </si>
  <si>
    <t>HNGK083</t>
  </si>
  <si>
    <t>ET43-19</t>
  </si>
  <si>
    <t>ET43-20</t>
  </si>
  <si>
    <t>ET45-8</t>
  </si>
  <si>
    <t>ET45-9</t>
  </si>
  <si>
    <t>HNGK084</t>
  </si>
  <si>
    <t>ET45-10</t>
  </si>
  <si>
    <t>HNGK085</t>
  </si>
  <si>
    <t>ET46-3</t>
  </si>
  <si>
    <t>ET46-4</t>
  </si>
  <si>
    <t>HNGK086</t>
  </si>
  <si>
    <t>ET46-5</t>
  </si>
  <si>
    <t>HNGK087</t>
  </si>
  <si>
    <t>ET46-6</t>
  </si>
  <si>
    <t>HNGK088</t>
  </si>
  <si>
    <t>ET46-7</t>
  </si>
  <si>
    <t>HNGK089</t>
  </si>
  <si>
    <t>ET47-4</t>
  </si>
  <si>
    <t>HNGK090</t>
  </si>
  <si>
    <t>ET47-5</t>
  </si>
  <si>
    <t>HNGK091</t>
  </si>
  <si>
    <t>ET48-3</t>
  </si>
  <si>
    <t>HNGK092</t>
  </si>
  <si>
    <t>ET48-4</t>
  </si>
  <si>
    <t>HNGK093</t>
  </si>
  <si>
    <t>ET48-5</t>
  </si>
  <si>
    <t>HNGK094</t>
  </si>
  <si>
    <t>ET49-1</t>
  </si>
  <si>
    <t>HNGK095</t>
  </si>
  <si>
    <t>ET49-2</t>
  </si>
  <si>
    <t>HNGK096</t>
  </si>
  <si>
    <t>ET50-21</t>
  </si>
  <si>
    <t>HNGK097</t>
  </si>
  <si>
    <t>ET50-22</t>
  </si>
  <si>
    <t>HNGK098</t>
  </si>
  <si>
    <t>ET51-5</t>
  </si>
  <si>
    <t>HNGK100</t>
  </si>
  <si>
    <t>ET52-4</t>
  </si>
  <si>
    <t>HNGK102</t>
  </si>
  <si>
    <t>ET52-5</t>
  </si>
  <si>
    <t>HNGK103</t>
  </si>
  <si>
    <t>HNGK104</t>
  </si>
  <si>
    <t>HNGK105</t>
  </si>
  <si>
    <t>V elution</t>
  </si>
  <si>
    <t>cfDNA conc</t>
  </si>
  <si>
    <t>MEAN_COVERAGE</t>
  </si>
  <si>
    <t>PCT_EXC_DUPE</t>
  </si>
  <si>
    <t>mapped_percent</t>
  </si>
  <si>
    <t>total_reads</t>
  </si>
  <si>
    <t>Gastric_highrisk</t>
  </si>
  <si>
    <t>Healthy_khongnoisoi</t>
  </si>
  <si>
    <t>R7128</t>
  </si>
  <si>
    <t>R7150</t>
  </si>
  <si>
    <t>Gastric_thumausai and Colorectal</t>
  </si>
  <si>
    <t>Gastric_precancerous_thumausai</t>
  </si>
  <si>
    <t>Gastric_metastasis_thumausai</t>
  </si>
  <si>
    <t>III</t>
  </si>
  <si>
    <t>ZERO</t>
  </si>
  <si>
    <t>Gastric_benign</t>
  </si>
  <si>
    <t>R7197</t>
  </si>
  <si>
    <t>R7212</t>
  </si>
  <si>
    <t>R7226</t>
  </si>
  <si>
    <t>HNGK099</t>
  </si>
  <si>
    <t>R7266</t>
  </si>
  <si>
    <t>HNGK101</t>
  </si>
  <si>
    <t>R7274</t>
  </si>
  <si>
    <t>Ng</t>
  </si>
  <si>
    <t>Quyet dinh</t>
  </si>
  <si>
    <t>Tách lại</t>
  </si>
  <si>
    <t>Đã dùng</t>
  </si>
  <si>
    <t>Còn lại</t>
  </si>
  <si>
    <t>V plasma đã dùng</t>
  </si>
  <si>
    <t>Chạy</t>
  </si>
  <si>
    <t>HNGK106</t>
  </si>
  <si>
    <t>Thể tích plasma</t>
  </si>
  <si>
    <t>V plasma tổng</t>
  </si>
  <si>
    <t>V còn</t>
  </si>
  <si>
    <t>V sẽ tách</t>
  </si>
  <si>
    <t>cfDNA yield (ng cfDNA / 1 ml plasma)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</si>
</sst>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b/>
      <sz val="12"/>
      <color rgb="FF000000"/>
      <name val="Arial"/>
    </font>
    <font>
      <b/>
      <sz val="12"/>
      <color rgb="FF9C0006"/>
      <name val="Arial"/>
    </font>
    <font>
      <sz val="12"/>
      <color rgb="FF000000"/>
      <name val="Arial"/>
    </font>
    <font>
      <sz val="12"/>
      <color rgb="FF9C0006"/>
      <name val="Arial"/>
    </font>
    <font>
      <sz val="12"/>
      <color rgb="FF9C5700"/>
      <name val="Arial"/>
    </font>
    <font>
      <sz val="11"/>
      <color rgb="FF000000"/>
      <name val="Arial"/>
    </font>
    <font>
      <i/>
      <sz val="12"/>
      <color rgb="FF000000"/>
      <name val="Arial"/>
    </font>
    <font>
      <b/>
      <sz val="11"/>
      <color rgb="FF000000"/>
      <name val="Calibri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rgb="FF747474"/>
        <bgColor rgb="FF000000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/>
    </xf>
    <xf numFmtId="0" fontId="5" fillId="0" borderId="3" xfId="0" applyFont="1" applyBorder="1"/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6" fillId="4" borderId="3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5" fillId="0" borderId="8" xfId="0" applyFont="1" applyBorder="1"/>
    <xf numFmtId="0" fontId="5" fillId="0" borderId="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/>
    <xf numFmtId="0" fontId="5" fillId="0" borderId="9" xfId="0" applyFont="1" applyBorder="1" applyAlignment="1">
      <alignment horizont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/>
    <xf numFmtId="0" fontId="7" fillId="5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6" xfId="0" applyFont="1" applyBorder="1"/>
    <xf numFmtId="0" fontId="5" fillId="0" borderId="5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7" fillId="5" borderId="3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6" fillId="4" borderId="3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5" fillId="0" borderId="3" xfId="0" applyFont="1" applyBorder="1" applyAlignment="1">
      <alignment horizontal="center" wrapText="1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0" borderId="4" xfId="0" applyFont="1" applyBorder="1"/>
    <xf numFmtId="0" fontId="7" fillId="5" borderId="8" xfId="0" applyFont="1" applyFill="1" applyBorder="1" applyAlignment="1">
      <alignment horizontal="center"/>
    </xf>
    <xf numFmtId="0" fontId="5" fillId="6" borderId="3" xfId="0" applyFont="1" applyFill="1" applyBorder="1"/>
    <xf numFmtId="0" fontId="5" fillId="6" borderId="3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6" borderId="3" xfId="0" applyFont="1" applyFill="1" applyBorder="1" applyAlignment="1">
      <alignment horizontal="center"/>
    </xf>
    <xf numFmtId="0" fontId="5" fillId="0" borderId="10" xfId="0" applyFont="1" applyBorder="1" applyAlignment="1">
      <alignment vertical="center"/>
    </xf>
    <xf numFmtId="0" fontId="3" fillId="0" borderId="3" xfId="0" applyFont="1" applyBorder="1" applyAlignment="1">
      <alignment horizontal="center" vertical="center" wrapText="1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3" fillId="3" borderId="5" xfId="0" applyFont="1" applyFill="1" applyBorder="1" applyAlignment="1">
      <alignment horizontal="left" vertical="center" wrapText="1"/>
    </xf>
    <xf numFmtId="0" fontId="5" fillId="0" borderId="4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5" xfId="0" applyFont="1" applyBorder="1"/>
    <xf numFmtId="0" fontId="5" fillId="0" borderId="4" xfId="0" applyFont="1" applyBorder="1" applyAlignment="1">
      <alignment horizontal="right"/>
    </xf>
    <xf numFmtId="0" fontId="2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6" borderId="4" xfId="0" applyFont="1" applyFill="1" applyBorder="1"/>
    <xf numFmtId="0" fontId="3" fillId="3" borderId="2" xfId="0" applyFont="1" applyFill="1" applyBorder="1" applyAlignment="1">
      <alignment horizontal="center"/>
    </xf>
    <xf numFmtId="0" fontId="0" fillId="0" borderId="2" xfId="0" applyBorder="1"/>
    <xf numFmtId="0" fontId="5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9" fillId="6" borderId="4" xfId="0" applyFont="1" applyFill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0" borderId="12" xfId="0" applyFont="1" applyBorder="1" applyAlignment="1">
      <alignment horizontal="left"/>
    </xf>
    <xf numFmtId="0" fontId="5" fillId="6" borderId="5" xfId="0" applyFont="1" applyFill="1" applyBorder="1"/>
    <xf numFmtId="0" fontId="6" fillId="4" borderId="5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5" fillId="0" borderId="2" xfId="0" applyFont="1" applyBorder="1" applyAlignment="1">
      <alignment horizontal="center"/>
    </xf>
    <xf numFmtId="0" fontId="7" fillId="5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2" fillId="12" borderId="5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2" fillId="12" borderId="6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7" fillId="0" borderId="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1" fillId="13" borderId="0" xfId="0" applyFont="1" applyFill="1" applyAlignment="1">
      <alignment horizontal="center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7"/>
  <sheetViews>
    <sheetView tabSelected="1" zoomScale="70" zoomScaleNormal="70" workbookViewId="0">
      <pane xSplit="5" ySplit="1" topLeftCell="L2" activePane="bottomRight" state="frozen"/>
      <selection pane="topRight" activeCell="F1" sqref="F1"/>
      <selection pane="bottomLeft" activeCell="A2" sqref="A2"/>
      <selection pane="bottomRight" activeCell="O124" sqref="O124"/>
    </sheetView>
  </sheetViews>
  <sheetFormatPr defaultRowHeight="15" x14ac:dyDescent="0.25"/>
  <cols>
    <col min="1" max="1" width="12.85546875" style="2" bestFit="1" customWidth="1"/>
    <col min="2" max="2" width="11.7109375" style="2" bestFit="1" customWidth="1"/>
    <col min="3" max="3" width="8.140625" style="2" bestFit="1" customWidth="1"/>
    <col min="4" max="4" width="7.85546875" style="2" bestFit="1" customWidth="1"/>
    <col min="5" max="5" width="34.42578125" style="2" bestFit="1" customWidth="1"/>
    <col min="6" max="6" width="11.140625" style="2" bestFit="1" customWidth="1"/>
    <col min="7" max="7" width="6.28515625" style="2" bestFit="1" customWidth="1"/>
    <col min="8" max="8" width="10.140625" style="2" bestFit="1" customWidth="1"/>
    <col min="9" max="9" width="8.5703125" style="2" bestFit="1" customWidth="1"/>
    <col min="10" max="10" width="14.85546875" style="2" bestFit="1" customWidth="1"/>
    <col min="11" max="11" width="16.28515625" style="2" bestFit="1" customWidth="1"/>
    <col min="12" max="12" width="12" style="2" bestFit="1" customWidth="1"/>
    <col min="13" max="13" width="11.7109375" style="2" bestFit="1" customWidth="1"/>
    <col min="14" max="14" width="15.28515625" style="2" bestFit="1" customWidth="1"/>
    <col min="15" max="15" width="43.5703125" style="2" bestFit="1" customWidth="1"/>
    <col min="16" max="16" width="8.7109375" style="2" bestFit="1" customWidth="1"/>
    <col min="17" max="17" width="14" style="2" bestFit="1" customWidth="1"/>
    <col min="18" max="18" width="7.7109375" style="2" bestFit="1" customWidth="1"/>
    <col min="19" max="19" width="23.140625" style="2" bestFit="1" customWidth="1"/>
    <col min="20" max="20" width="20.5703125" style="2" bestFit="1" customWidth="1"/>
    <col min="21" max="21" width="21.140625" style="2" bestFit="1" customWidth="1"/>
    <col min="22" max="22" width="14.5703125" style="2" bestFit="1" customWidth="1"/>
    <col min="23" max="16384" width="9.140625" style="2"/>
  </cols>
  <sheetData>
    <row r="1" spans="1:22" x14ac:dyDescent="0.25">
      <c r="A1" s="4" t="s">
        <v>0</v>
      </c>
      <c r="B1" s="4" t="s">
        <v>1</v>
      </c>
      <c r="C1" s="4" t="s">
        <v>2</v>
      </c>
      <c r="D1" s="50" t="s">
        <v>3</v>
      </c>
      <c r="E1" s="4" t="s">
        <v>4</v>
      </c>
      <c r="F1" s="4" t="s">
        <v>5</v>
      </c>
      <c r="G1" s="51" t="s">
        <v>6</v>
      </c>
      <c r="H1" s="51" t="s">
        <v>7</v>
      </c>
      <c r="I1" s="4" t="s">
        <v>8</v>
      </c>
      <c r="J1" s="4" t="s">
        <v>203</v>
      </c>
      <c r="K1" s="4" t="s">
        <v>9</v>
      </c>
      <c r="L1" s="1" t="s">
        <v>222</v>
      </c>
      <c r="M1" s="1" t="s">
        <v>456</v>
      </c>
      <c r="N1" s="1" t="s">
        <v>457</v>
      </c>
      <c r="O1" s="110" t="s">
        <v>491</v>
      </c>
      <c r="P1" s="1" t="s">
        <v>10</v>
      </c>
      <c r="Q1" s="1" t="s">
        <v>11</v>
      </c>
      <c r="R1" s="4" t="s">
        <v>12</v>
      </c>
      <c r="S1" s="4" t="s">
        <v>458</v>
      </c>
      <c r="T1" s="4" t="s">
        <v>459</v>
      </c>
      <c r="U1" s="4" t="s">
        <v>460</v>
      </c>
      <c r="V1" s="4" t="s">
        <v>461</v>
      </c>
    </row>
    <row r="2" spans="1:22" x14ac:dyDescent="0.25">
      <c r="A2" s="2" t="s">
        <v>13</v>
      </c>
      <c r="B2" s="2" t="s">
        <v>13</v>
      </c>
      <c r="C2" s="2">
        <v>0</v>
      </c>
      <c r="D2" s="2">
        <v>0</v>
      </c>
      <c r="E2" s="2" t="s">
        <v>14</v>
      </c>
      <c r="G2" s="2">
        <v>54</v>
      </c>
      <c r="H2" s="2" t="s">
        <v>15</v>
      </c>
      <c r="J2" s="2" t="s">
        <v>88</v>
      </c>
      <c r="K2" s="2" t="s">
        <v>16</v>
      </c>
      <c r="L2" s="2">
        <v>2</v>
      </c>
      <c r="M2" s="2">
        <v>30</v>
      </c>
      <c r="N2" s="2">
        <v>0.32500000000000001</v>
      </c>
      <c r="O2" s="109">
        <v>4.875</v>
      </c>
      <c r="P2" s="2">
        <v>4.875</v>
      </c>
      <c r="Q2" s="2" t="s">
        <v>17</v>
      </c>
      <c r="R2" s="2" t="s">
        <v>18</v>
      </c>
      <c r="S2" s="2">
        <v>0.46011800000000003</v>
      </c>
      <c r="T2" s="2">
        <v>6.424E-3</v>
      </c>
      <c r="U2" s="2">
        <v>99.54</v>
      </c>
      <c r="V2" s="2">
        <v>30215218</v>
      </c>
    </row>
    <row r="3" spans="1:22" x14ac:dyDescent="0.25">
      <c r="A3" s="2" t="s">
        <v>19</v>
      </c>
      <c r="B3" s="2" t="s">
        <v>19</v>
      </c>
      <c r="C3" s="2">
        <v>0</v>
      </c>
      <c r="D3" s="2">
        <v>0</v>
      </c>
      <c r="E3" s="2" t="s">
        <v>14</v>
      </c>
      <c r="G3" s="2">
        <v>63</v>
      </c>
      <c r="H3" s="2" t="s">
        <v>20</v>
      </c>
      <c r="J3" s="2" t="s">
        <v>88</v>
      </c>
      <c r="K3" s="2" t="s">
        <v>16</v>
      </c>
      <c r="L3" s="2">
        <v>2</v>
      </c>
      <c r="M3" s="2">
        <v>30</v>
      </c>
      <c r="N3" s="2">
        <v>0.25800000000000001</v>
      </c>
      <c r="O3" s="109">
        <v>3.87</v>
      </c>
      <c r="P3" s="2">
        <v>4.6440000000000001</v>
      </c>
      <c r="Q3" s="2" t="s">
        <v>17</v>
      </c>
      <c r="R3" s="2" t="s">
        <v>18</v>
      </c>
      <c r="S3" s="2">
        <v>0.54829000000000006</v>
      </c>
      <c r="T3" s="2">
        <v>6.3340000000000002E-3</v>
      </c>
      <c r="U3" s="2">
        <v>99.64</v>
      </c>
      <c r="V3" s="2">
        <v>35741446</v>
      </c>
    </row>
    <row r="4" spans="1:22" x14ac:dyDescent="0.25">
      <c r="A4" s="2" t="s">
        <v>21</v>
      </c>
      <c r="B4" s="2" t="s">
        <v>21</v>
      </c>
      <c r="C4" s="2">
        <v>0</v>
      </c>
      <c r="D4" s="2">
        <v>0</v>
      </c>
      <c r="E4" s="2" t="s">
        <v>14</v>
      </c>
      <c r="G4" s="2">
        <v>37</v>
      </c>
      <c r="H4" s="2" t="s">
        <v>15</v>
      </c>
      <c r="J4" s="2" t="s">
        <v>88</v>
      </c>
      <c r="K4" s="2" t="s">
        <v>16</v>
      </c>
      <c r="L4" s="2">
        <v>2</v>
      </c>
      <c r="M4" s="2">
        <v>30</v>
      </c>
      <c r="N4" s="2">
        <v>0.153</v>
      </c>
      <c r="O4" s="109">
        <v>2.2949999999999999</v>
      </c>
      <c r="P4" s="2">
        <v>2.754</v>
      </c>
      <c r="Q4" s="2" t="s">
        <v>22</v>
      </c>
      <c r="R4" s="2" t="s">
        <v>18</v>
      </c>
      <c r="S4" s="2">
        <v>0.55407200000000001</v>
      </c>
      <c r="T4" s="2">
        <v>6.6550000000000003E-3</v>
      </c>
      <c r="U4" s="2">
        <v>99.6</v>
      </c>
      <c r="V4" s="2">
        <v>36445858</v>
      </c>
    </row>
    <row r="5" spans="1:22" x14ac:dyDescent="0.25">
      <c r="A5" s="2" t="s">
        <v>23</v>
      </c>
      <c r="B5" s="2" t="s">
        <v>23</v>
      </c>
      <c r="C5" s="2">
        <v>0</v>
      </c>
      <c r="D5" s="2">
        <v>0</v>
      </c>
      <c r="E5" s="2" t="s">
        <v>14</v>
      </c>
      <c r="G5" s="2">
        <v>63</v>
      </c>
      <c r="H5" s="2" t="s">
        <v>15</v>
      </c>
      <c r="J5" s="2" t="s">
        <v>88</v>
      </c>
      <c r="K5" s="2" t="s">
        <v>16</v>
      </c>
      <c r="L5" s="2">
        <v>2</v>
      </c>
      <c r="M5" s="2">
        <v>30</v>
      </c>
      <c r="N5" s="2">
        <v>0.33700000000000002</v>
      </c>
      <c r="O5" s="109">
        <v>5.0550000000000006</v>
      </c>
      <c r="P5" s="2">
        <v>4.718</v>
      </c>
      <c r="Q5" s="2" t="s">
        <v>17</v>
      </c>
      <c r="R5" s="2" t="s">
        <v>24</v>
      </c>
      <c r="S5" s="2">
        <v>0.53887099999999999</v>
      </c>
      <c r="T5" s="2">
        <v>6.3E-3</v>
      </c>
      <c r="U5" s="2">
        <v>99.52</v>
      </c>
      <c r="V5" s="2">
        <v>35509388</v>
      </c>
    </row>
    <row r="6" spans="1:22" x14ac:dyDescent="0.25">
      <c r="A6" s="2" t="s">
        <v>25</v>
      </c>
      <c r="B6" s="2" t="s">
        <v>25</v>
      </c>
      <c r="C6" s="2">
        <v>0</v>
      </c>
      <c r="D6" s="2">
        <v>0</v>
      </c>
      <c r="E6" s="2" t="s">
        <v>14</v>
      </c>
      <c r="G6" s="2">
        <v>61</v>
      </c>
      <c r="H6" s="2" t="s">
        <v>20</v>
      </c>
      <c r="J6" s="2" t="s">
        <v>88</v>
      </c>
      <c r="K6" s="2" t="s">
        <v>16</v>
      </c>
      <c r="L6" s="2">
        <v>1.5</v>
      </c>
      <c r="M6" s="2">
        <v>30</v>
      </c>
      <c r="N6" s="2">
        <v>0.498</v>
      </c>
      <c r="O6" s="109">
        <v>9.9599999999999991</v>
      </c>
      <c r="P6" s="2">
        <v>4.9800000000000004</v>
      </c>
      <c r="Q6" s="2" t="s">
        <v>17</v>
      </c>
      <c r="R6" s="2" t="s">
        <v>26</v>
      </c>
      <c r="S6" s="2">
        <v>0.50225799999999998</v>
      </c>
      <c r="T6" s="2">
        <v>6.1960000000000001E-3</v>
      </c>
      <c r="U6" s="2">
        <v>99.63</v>
      </c>
      <c r="V6" s="2">
        <v>32820623</v>
      </c>
    </row>
    <row r="7" spans="1:22" x14ac:dyDescent="0.25">
      <c r="A7" s="2" t="s">
        <v>27</v>
      </c>
      <c r="B7" s="2" t="s">
        <v>27</v>
      </c>
      <c r="C7" s="2">
        <v>0</v>
      </c>
      <c r="D7" s="2">
        <v>0</v>
      </c>
      <c r="E7" s="2" t="s">
        <v>14</v>
      </c>
      <c r="G7" s="2">
        <v>66</v>
      </c>
      <c r="H7" s="2" t="s">
        <v>15</v>
      </c>
      <c r="J7" s="2" t="s">
        <v>88</v>
      </c>
      <c r="K7" s="2" t="s">
        <v>16</v>
      </c>
      <c r="L7" s="2">
        <v>2</v>
      </c>
      <c r="M7" s="2">
        <v>30</v>
      </c>
      <c r="N7" s="2">
        <v>0.88200000000000001</v>
      </c>
      <c r="O7" s="109">
        <v>13.23</v>
      </c>
      <c r="P7" s="2">
        <v>4.41</v>
      </c>
      <c r="Q7" s="2" t="s">
        <v>17</v>
      </c>
      <c r="R7" s="2" t="s">
        <v>26</v>
      </c>
      <c r="S7" s="2">
        <v>0.65583599999999997</v>
      </c>
      <c r="T7" s="2">
        <v>7.7460000000000003E-3</v>
      </c>
      <c r="U7" s="2">
        <v>99.41</v>
      </c>
      <c r="V7" s="2">
        <v>43108676</v>
      </c>
    </row>
    <row r="8" spans="1:22" x14ac:dyDescent="0.25">
      <c r="A8" s="2" t="s">
        <v>28</v>
      </c>
      <c r="B8" s="2" t="s">
        <v>28</v>
      </c>
      <c r="C8" s="2">
        <v>0</v>
      </c>
      <c r="D8" s="2">
        <v>0</v>
      </c>
      <c r="E8" s="2" t="s">
        <v>14</v>
      </c>
      <c r="G8" s="2">
        <v>48</v>
      </c>
      <c r="H8" s="2" t="s">
        <v>20</v>
      </c>
      <c r="J8" s="2" t="s">
        <v>88</v>
      </c>
      <c r="K8" s="2" t="s">
        <v>16</v>
      </c>
      <c r="L8" s="2">
        <v>2</v>
      </c>
      <c r="M8" s="2">
        <v>30</v>
      </c>
      <c r="N8" s="2">
        <v>0.64500000000000002</v>
      </c>
      <c r="O8" s="109">
        <v>9.6750000000000007</v>
      </c>
      <c r="P8" s="2">
        <v>4.5149999999999997</v>
      </c>
      <c r="Q8" s="2" t="s">
        <v>17</v>
      </c>
      <c r="R8" s="2" t="s">
        <v>26</v>
      </c>
      <c r="S8" s="2">
        <v>0.70223400000000002</v>
      </c>
      <c r="T8" s="2">
        <v>6.9750000000000003E-3</v>
      </c>
      <c r="U8" s="2">
        <v>99.63</v>
      </c>
      <c r="V8" s="2">
        <v>45804074</v>
      </c>
    </row>
    <row r="9" spans="1:22" x14ac:dyDescent="0.25">
      <c r="A9" s="2" t="s">
        <v>29</v>
      </c>
      <c r="B9" s="2" t="s">
        <v>29</v>
      </c>
      <c r="C9" s="2">
        <v>0</v>
      </c>
      <c r="D9" s="2">
        <v>0</v>
      </c>
      <c r="E9" s="2" t="s">
        <v>14</v>
      </c>
      <c r="G9" s="2">
        <v>40</v>
      </c>
      <c r="H9" s="2" t="s">
        <v>15</v>
      </c>
      <c r="J9" s="2" t="s">
        <v>88</v>
      </c>
      <c r="K9" s="2" t="s">
        <v>16</v>
      </c>
      <c r="L9" s="2">
        <v>2</v>
      </c>
      <c r="M9" s="2">
        <v>30</v>
      </c>
      <c r="N9" s="2">
        <v>0.49</v>
      </c>
      <c r="O9" s="109">
        <v>7.35</v>
      </c>
      <c r="P9" s="2">
        <v>4.9000000000000004</v>
      </c>
      <c r="Q9" s="2" t="s">
        <v>17</v>
      </c>
      <c r="R9" s="2" t="s">
        <v>26</v>
      </c>
      <c r="S9" s="2">
        <v>0.59539399999999998</v>
      </c>
      <c r="T9" s="2">
        <v>6.9080000000000001E-3</v>
      </c>
      <c r="U9" s="2">
        <v>99.57</v>
      </c>
      <c r="V9" s="2">
        <v>39243030</v>
      </c>
    </row>
    <row r="10" spans="1:22" x14ac:dyDescent="0.25">
      <c r="A10" s="2" t="s">
        <v>30</v>
      </c>
      <c r="B10" s="2" t="s">
        <v>30</v>
      </c>
      <c r="C10" s="2">
        <v>0</v>
      </c>
      <c r="D10" s="2">
        <v>0</v>
      </c>
      <c r="E10" s="2" t="s">
        <v>14</v>
      </c>
      <c r="G10" s="2">
        <v>44</v>
      </c>
      <c r="H10" s="2" t="s">
        <v>15</v>
      </c>
      <c r="J10" s="2" t="s">
        <v>88</v>
      </c>
      <c r="K10" s="2" t="s">
        <v>16</v>
      </c>
      <c r="L10" s="2">
        <v>1.8</v>
      </c>
      <c r="M10" s="2">
        <v>30</v>
      </c>
      <c r="N10" s="2">
        <v>0.46899999999999997</v>
      </c>
      <c r="O10" s="109">
        <v>7.8166666666666655</v>
      </c>
      <c r="P10" s="2">
        <v>4.6900000000000004</v>
      </c>
      <c r="Q10" s="2" t="s">
        <v>17</v>
      </c>
      <c r="R10" s="2" t="s">
        <v>26</v>
      </c>
      <c r="S10" s="2">
        <v>0.44525900000000002</v>
      </c>
      <c r="T10" s="2">
        <v>6.2919999999999998E-3</v>
      </c>
      <c r="U10" s="2">
        <v>99.57</v>
      </c>
      <c r="V10" s="2">
        <v>29351340</v>
      </c>
    </row>
    <row r="11" spans="1:22" x14ac:dyDescent="0.25">
      <c r="A11" s="2" t="s">
        <v>31</v>
      </c>
      <c r="B11" s="2" t="s">
        <v>31</v>
      </c>
      <c r="C11" s="2">
        <v>0</v>
      </c>
      <c r="D11" s="2">
        <v>0</v>
      </c>
      <c r="E11" s="2" t="s">
        <v>14</v>
      </c>
      <c r="G11" s="2">
        <v>41</v>
      </c>
      <c r="H11" s="2" t="s">
        <v>20</v>
      </c>
      <c r="J11" s="2" t="s">
        <v>88</v>
      </c>
      <c r="K11" s="2" t="s">
        <v>16</v>
      </c>
      <c r="L11" s="2">
        <v>2</v>
      </c>
      <c r="M11" s="2">
        <v>30</v>
      </c>
      <c r="N11" s="2">
        <v>0.26300000000000001</v>
      </c>
      <c r="O11" s="109">
        <v>3.9450000000000003</v>
      </c>
      <c r="P11" s="2">
        <v>4.734</v>
      </c>
      <c r="Q11" s="2" t="s">
        <v>17</v>
      </c>
      <c r="R11" s="2" t="s">
        <v>26</v>
      </c>
      <c r="S11" s="2">
        <v>0.59451699999999996</v>
      </c>
      <c r="T11" s="2">
        <v>6.0920000000000002E-3</v>
      </c>
      <c r="U11" s="2">
        <v>99.63</v>
      </c>
      <c r="V11" s="2">
        <v>38776752</v>
      </c>
    </row>
    <row r="12" spans="1:22" x14ac:dyDescent="0.25">
      <c r="A12" s="2" t="s">
        <v>32</v>
      </c>
      <c r="B12" s="2" t="s">
        <v>32</v>
      </c>
      <c r="C12" s="2">
        <v>0</v>
      </c>
      <c r="D12" s="2">
        <v>0</v>
      </c>
      <c r="E12" s="2" t="s">
        <v>14</v>
      </c>
      <c r="G12" s="2">
        <v>53</v>
      </c>
      <c r="H12" s="2" t="s">
        <v>15</v>
      </c>
      <c r="J12" s="2" t="s">
        <v>88</v>
      </c>
      <c r="K12" s="2" t="s">
        <v>16</v>
      </c>
      <c r="L12" s="2">
        <v>1.8</v>
      </c>
      <c r="M12" s="2">
        <v>30</v>
      </c>
      <c r="N12" s="2">
        <v>0.49099999999999999</v>
      </c>
      <c r="O12" s="109">
        <v>8.1833333333333336</v>
      </c>
      <c r="P12" s="2">
        <v>4.91</v>
      </c>
      <c r="Q12" s="2" t="s">
        <v>17</v>
      </c>
      <c r="R12" s="2" t="s">
        <v>26</v>
      </c>
      <c r="S12" s="2">
        <v>0.55276999999999998</v>
      </c>
      <c r="T12" s="2">
        <v>5.6959999999999997E-3</v>
      </c>
      <c r="U12" s="2">
        <v>99.54</v>
      </c>
      <c r="V12" s="2">
        <v>36343719</v>
      </c>
    </row>
    <row r="13" spans="1:22" x14ac:dyDescent="0.25">
      <c r="A13" s="2" t="s">
        <v>33</v>
      </c>
      <c r="B13" s="2" t="s">
        <v>33</v>
      </c>
      <c r="C13" s="2">
        <v>0</v>
      </c>
      <c r="D13" s="2">
        <v>0</v>
      </c>
      <c r="E13" s="2" t="s">
        <v>14</v>
      </c>
      <c r="G13" s="2">
        <v>60</v>
      </c>
      <c r="H13" s="2" t="s">
        <v>15</v>
      </c>
      <c r="J13" s="2" t="s">
        <v>88</v>
      </c>
      <c r="K13" s="2" t="s">
        <v>16</v>
      </c>
      <c r="L13" s="2">
        <v>1.5</v>
      </c>
      <c r="M13" s="2">
        <v>30</v>
      </c>
      <c r="N13" s="2">
        <v>0.39</v>
      </c>
      <c r="O13" s="109">
        <v>7.8000000000000007</v>
      </c>
      <c r="P13" s="2">
        <v>4.68</v>
      </c>
      <c r="Q13" s="2" t="s">
        <v>17</v>
      </c>
      <c r="R13" s="2" t="s">
        <v>26</v>
      </c>
      <c r="S13" s="2">
        <v>0.60137700000000005</v>
      </c>
      <c r="T13" s="2">
        <v>7.0629999999999998E-3</v>
      </c>
      <c r="U13" s="2">
        <v>99.56</v>
      </c>
      <c r="V13" s="2">
        <v>39495594</v>
      </c>
    </row>
    <row r="14" spans="1:22" x14ac:dyDescent="0.25">
      <c r="A14" s="2" t="s">
        <v>34</v>
      </c>
      <c r="B14" s="2" t="s">
        <v>34</v>
      </c>
      <c r="C14" s="2">
        <v>0</v>
      </c>
      <c r="D14" s="2">
        <v>0</v>
      </c>
      <c r="E14" s="2" t="s">
        <v>14</v>
      </c>
      <c r="G14" s="2">
        <v>67</v>
      </c>
      <c r="H14" s="2" t="s">
        <v>15</v>
      </c>
      <c r="J14" s="2" t="s">
        <v>88</v>
      </c>
      <c r="K14" s="2" t="s">
        <v>16</v>
      </c>
      <c r="L14" s="2">
        <v>2</v>
      </c>
      <c r="M14" s="2">
        <v>30</v>
      </c>
      <c r="N14" s="2">
        <v>0.36399999999999999</v>
      </c>
      <c r="O14" s="109">
        <v>5.46</v>
      </c>
      <c r="P14" s="2">
        <v>4.7320000000000002</v>
      </c>
      <c r="Q14" s="2" t="s">
        <v>17</v>
      </c>
      <c r="R14" s="2" t="s">
        <v>26</v>
      </c>
      <c r="S14" s="2">
        <v>0.525729</v>
      </c>
      <c r="T14" s="2">
        <v>7.1419999999999999E-3</v>
      </c>
      <c r="U14" s="2">
        <v>99.54</v>
      </c>
      <c r="V14" s="2">
        <v>34465877</v>
      </c>
    </row>
    <row r="15" spans="1:22" x14ac:dyDescent="0.25">
      <c r="A15" s="2" t="s">
        <v>35</v>
      </c>
      <c r="B15" s="2" t="s">
        <v>35</v>
      </c>
      <c r="C15" s="2">
        <v>0</v>
      </c>
      <c r="D15" s="2">
        <v>0</v>
      </c>
      <c r="E15" s="2" t="s">
        <v>14</v>
      </c>
      <c r="G15" s="2">
        <v>36</v>
      </c>
      <c r="H15" s="2" t="s">
        <v>20</v>
      </c>
      <c r="J15" s="2" t="s">
        <v>88</v>
      </c>
      <c r="K15" s="2" t="s">
        <v>16</v>
      </c>
      <c r="L15" s="2">
        <v>2</v>
      </c>
      <c r="M15" s="2">
        <v>30</v>
      </c>
      <c r="N15" s="2">
        <v>0.40200000000000002</v>
      </c>
      <c r="O15" s="109">
        <v>6.03</v>
      </c>
      <c r="P15" s="2">
        <v>4.8239999999999998</v>
      </c>
      <c r="Q15" s="2" t="s">
        <v>17</v>
      </c>
      <c r="R15" s="2" t="s">
        <v>26</v>
      </c>
      <c r="S15" s="2">
        <v>0.57270799999999999</v>
      </c>
      <c r="T15" s="2">
        <v>6.2160000000000002E-3</v>
      </c>
      <c r="U15" s="2">
        <v>99.63</v>
      </c>
      <c r="V15" s="2">
        <v>37413820</v>
      </c>
    </row>
    <row r="16" spans="1:22" x14ac:dyDescent="0.25">
      <c r="A16" s="2" t="s">
        <v>36</v>
      </c>
      <c r="B16" s="2" t="s">
        <v>36</v>
      </c>
      <c r="C16" s="2">
        <v>0</v>
      </c>
      <c r="D16" s="2">
        <v>0</v>
      </c>
      <c r="E16" s="2" t="s">
        <v>14</v>
      </c>
      <c r="G16" s="2">
        <v>59</v>
      </c>
      <c r="H16" s="2" t="s">
        <v>15</v>
      </c>
      <c r="J16" s="2" t="s">
        <v>88</v>
      </c>
      <c r="K16" s="2" t="s">
        <v>16</v>
      </c>
      <c r="L16" s="2">
        <v>2</v>
      </c>
      <c r="M16" s="2">
        <v>30</v>
      </c>
      <c r="N16" s="2">
        <v>0.57199999999999995</v>
      </c>
      <c r="O16" s="109">
        <v>8.58</v>
      </c>
      <c r="P16" s="2">
        <v>4.5759999999999996</v>
      </c>
      <c r="Q16" s="2" t="s">
        <v>17</v>
      </c>
      <c r="R16" s="2" t="s">
        <v>26</v>
      </c>
      <c r="S16" s="2">
        <v>0.63843000000000005</v>
      </c>
      <c r="T16" s="2">
        <v>5.705E-3</v>
      </c>
      <c r="U16" s="2">
        <v>99.53</v>
      </c>
      <c r="V16" s="2">
        <v>41792627</v>
      </c>
    </row>
    <row r="17" spans="1:22" x14ac:dyDescent="0.25">
      <c r="A17" s="2" t="s">
        <v>37</v>
      </c>
      <c r="B17" s="2" t="s">
        <v>37</v>
      </c>
      <c r="C17" s="2">
        <v>0</v>
      </c>
      <c r="D17" s="2">
        <v>0</v>
      </c>
      <c r="E17" s="2" t="s">
        <v>14</v>
      </c>
      <c r="G17" s="2">
        <v>42</v>
      </c>
      <c r="H17" s="2" t="s">
        <v>20</v>
      </c>
      <c r="J17" s="2" t="s">
        <v>88</v>
      </c>
      <c r="K17" s="2" t="s">
        <v>16</v>
      </c>
      <c r="L17" s="2">
        <v>1.8</v>
      </c>
      <c r="M17" s="2">
        <v>30</v>
      </c>
      <c r="N17" s="2">
        <v>0.79800000000000004</v>
      </c>
      <c r="O17" s="109">
        <v>13.3</v>
      </c>
      <c r="P17" s="2">
        <v>4.7880000000000003</v>
      </c>
      <c r="Q17" s="2" t="s">
        <v>17</v>
      </c>
      <c r="R17" s="2" t="s">
        <v>26</v>
      </c>
      <c r="S17" s="2">
        <v>0.67399399999999998</v>
      </c>
      <c r="T17" s="2">
        <v>7.1929999999999997E-3</v>
      </c>
      <c r="U17" s="2">
        <v>99.63</v>
      </c>
      <c r="V17" s="2">
        <v>43741777</v>
      </c>
    </row>
    <row r="18" spans="1:22" x14ac:dyDescent="0.25">
      <c r="A18" s="2" t="s">
        <v>38</v>
      </c>
      <c r="B18" s="2" t="s">
        <v>38</v>
      </c>
      <c r="C18" s="2">
        <v>0</v>
      </c>
      <c r="D18" s="2">
        <v>0</v>
      </c>
      <c r="E18" s="2" t="s">
        <v>14</v>
      </c>
      <c r="G18" s="2">
        <v>55</v>
      </c>
      <c r="H18" s="2" t="s">
        <v>20</v>
      </c>
      <c r="J18" s="2" t="s">
        <v>88</v>
      </c>
      <c r="K18" s="2" t="s">
        <v>16</v>
      </c>
      <c r="L18" s="2">
        <v>1.7</v>
      </c>
      <c r="M18" s="2">
        <v>30</v>
      </c>
      <c r="N18" s="2">
        <v>0.38800000000000001</v>
      </c>
      <c r="O18" s="109">
        <v>6.8470588235294123</v>
      </c>
      <c r="P18" s="2">
        <v>4.6560000000000006</v>
      </c>
      <c r="Q18" s="2" t="s">
        <v>17</v>
      </c>
      <c r="R18" s="2" t="s">
        <v>39</v>
      </c>
      <c r="S18" s="2">
        <v>0.64698999999999995</v>
      </c>
      <c r="T18" s="2">
        <v>7.0260000000000001E-3</v>
      </c>
      <c r="U18" s="2">
        <v>99.62</v>
      </c>
      <c r="V18" s="2">
        <v>42303743</v>
      </c>
    </row>
    <row r="19" spans="1:22" x14ac:dyDescent="0.25">
      <c r="A19" s="2" t="s">
        <v>40</v>
      </c>
      <c r="B19" s="2" t="s">
        <v>40</v>
      </c>
      <c r="C19" s="2">
        <v>0</v>
      </c>
      <c r="D19" s="2">
        <v>0</v>
      </c>
      <c r="E19" s="2" t="s">
        <v>14</v>
      </c>
      <c r="G19" s="2">
        <v>51</v>
      </c>
      <c r="H19" s="2" t="s">
        <v>20</v>
      </c>
      <c r="J19" s="2" t="s">
        <v>88</v>
      </c>
      <c r="K19" s="2" t="s">
        <v>16</v>
      </c>
      <c r="L19" s="2">
        <v>1.7</v>
      </c>
      <c r="M19" s="2">
        <v>30</v>
      </c>
      <c r="N19" s="2">
        <v>0.875</v>
      </c>
      <c r="O19" s="109">
        <v>15.441176470588236</v>
      </c>
      <c r="P19" s="2">
        <v>4.375</v>
      </c>
      <c r="Q19" s="2" t="s">
        <v>17</v>
      </c>
      <c r="R19" s="2" t="s">
        <v>39</v>
      </c>
      <c r="S19" s="2">
        <v>0.79825000000000002</v>
      </c>
      <c r="T19" s="2">
        <v>7.9260000000000008E-3</v>
      </c>
      <c r="U19" s="2">
        <v>99.64</v>
      </c>
      <c r="V19" s="2">
        <v>52134884</v>
      </c>
    </row>
    <row r="20" spans="1:22" x14ac:dyDescent="0.25">
      <c r="A20" s="2" t="s">
        <v>182</v>
      </c>
      <c r="B20" s="2" t="s">
        <v>182</v>
      </c>
      <c r="C20" s="2">
        <v>0</v>
      </c>
      <c r="D20" s="2">
        <v>0</v>
      </c>
      <c r="E20" s="2" t="s">
        <v>14</v>
      </c>
      <c r="G20" s="2">
        <v>65</v>
      </c>
      <c r="H20" s="2" t="s">
        <v>20</v>
      </c>
      <c r="J20" s="2" t="s">
        <v>88</v>
      </c>
      <c r="K20" s="2" t="s">
        <v>16</v>
      </c>
      <c r="L20" s="2">
        <v>2</v>
      </c>
      <c r="M20" s="2">
        <v>30</v>
      </c>
      <c r="N20" s="2">
        <v>0.57199999999999995</v>
      </c>
      <c r="O20" s="109">
        <v>8.58</v>
      </c>
      <c r="P20" s="2">
        <v>5.1479999999999997</v>
      </c>
      <c r="Q20" s="2" t="s">
        <v>17</v>
      </c>
      <c r="R20" s="2" t="s">
        <v>204</v>
      </c>
      <c r="S20" s="2">
        <v>0.515787</v>
      </c>
      <c r="T20" s="2">
        <v>7.3800000000000003E-3</v>
      </c>
      <c r="U20" s="2">
        <v>99.62</v>
      </c>
      <c r="V20" s="2">
        <v>33697323</v>
      </c>
    </row>
    <row r="21" spans="1:22" x14ac:dyDescent="0.25">
      <c r="A21" s="2" t="s">
        <v>183</v>
      </c>
      <c r="B21" s="2" t="s">
        <v>183</v>
      </c>
      <c r="C21" s="2">
        <v>0</v>
      </c>
      <c r="D21" s="2">
        <v>0</v>
      </c>
      <c r="E21" s="2" t="s">
        <v>14</v>
      </c>
      <c r="G21" s="2">
        <v>28</v>
      </c>
      <c r="H21" s="2" t="s">
        <v>20</v>
      </c>
      <c r="J21" s="2" t="s">
        <v>88</v>
      </c>
      <c r="K21" s="2" t="s">
        <v>16</v>
      </c>
      <c r="L21" s="2">
        <v>1.9</v>
      </c>
      <c r="M21" s="2">
        <v>30</v>
      </c>
      <c r="N21" s="2">
        <v>0.311</v>
      </c>
      <c r="O21" s="109">
        <v>4.9105263157894736</v>
      </c>
      <c r="P21" s="2">
        <v>4.976</v>
      </c>
      <c r="Q21" s="2" t="s">
        <v>17</v>
      </c>
      <c r="R21" s="2" t="s">
        <v>204</v>
      </c>
      <c r="S21" s="2">
        <v>0.49404700000000001</v>
      </c>
      <c r="T21" s="2">
        <v>6.9069999999999999E-3</v>
      </c>
      <c r="U21" s="2">
        <v>99.63</v>
      </c>
      <c r="V21" s="2">
        <v>32390582</v>
      </c>
    </row>
    <row r="22" spans="1:22" x14ac:dyDescent="0.25">
      <c r="A22" s="2" t="s">
        <v>184</v>
      </c>
      <c r="B22" s="2" t="s">
        <v>184</v>
      </c>
      <c r="C22" s="2">
        <v>0</v>
      </c>
      <c r="D22" s="2">
        <v>0</v>
      </c>
      <c r="E22" s="2" t="s">
        <v>14</v>
      </c>
      <c r="G22" s="2">
        <v>45</v>
      </c>
      <c r="H22" s="2" t="s">
        <v>20</v>
      </c>
      <c r="J22" s="2" t="s">
        <v>88</v>
      </c>
      <c r="K22" s="2" t="s">
        <v>16</v>
      </c>
      <c r="L22" s="2">
        <v>1.9</v>
      </c>
      <c r="M22" s="2">
        <v>30</v>
      </c>
      <c r="N22" s="2">
        <v>0.40799999999999997</v>
      </c>
      <c r="O22" s="109">
        <v>6.4421052631578943</v>
      </c>
      <c r="P22" s="2">
        <v>4.8959999999999999</v>
      </c>
      <c r="Q22" s="2" t="s">
        <v>17</v>
      </c>
      <c r="R22" s="2" t="s">
        <v>204</v>
      </c>
      <c r="S22" s="2">
        <v>0.34163500000000002</v>
      </c>
      <c r="T22" s="2">
        <v>6.0920000000000002E-3</v>
      </c>
      <c r="U22" s="2">
        <v>99.62</v>
      </c>
      <c r="V22" s="2">
        <v>22366609</v>
      </c>
    </row>
    <row r="23" spans="1:22" x14ac:dyDescent="0.25">
      <c r="A23" s="2" t="s">
        <v>185</v>
      </c>
      <c r="B23" s="2" t="s">
        <v>185</v>
      </c>
      <c r="C23" s="2" t="e">
        <v>#N/A</v>
      </c>
      <c r="D23" s="2" t="e">
        <v>#N/A</v>
      </c>
      <c r="E23" s="2" t="s">
        <v>462</v>
      </c>
      <c r="G23" s="2">
        <v>49</v>
      </c>
      <c r="H23" s="2" t="s">
        <v>20</v>
      </c>
      <c r="J23" s="2" t="s">
        <v>88</v>
      </c>
      <c r="K23" s="2" t="s">
        <v>16</v>
      </c>
      <c r="L23" s="2">
        <v>2</v>
      </c>
      <c r="M23" s="2">
        <v>30</v>
      </c>
      <c r="N23" s="2">
        <v>0.46200000000000002</v>
      </c>
      <c r="O23" s="109">
        <v>6.9300000000000006</v>
      </c>
      <c r="P23" s="2">
        <v>4.851</v>
      </c>
      <c r="Q23" s="2" t="s">
        <v>17</v>
      </c>
      <c r="R23" s="2" t="s">
        <v>205</v>
      </c>
      <c r="S23" s="2">
        <v>0.53484200000000004</v>
      </c>
      <c r="T23" s="2">
        <v>8.2760000000000004E-3</v>
      </c>
      <c r="U23" s="2">
        <v>99.63</v>
      </c>
      <c r="V23" s="2">
        <v>34943102</v>
      </c>
    </row>
    <row r="24" spans="1:22" x14ac:dyDescent="0.25">
      <c r="A24" s="2" t="s">
        <v>186</v>
      </c>
      <c r="B24" s="2" t="s">
        <v>186</v>
      </c>
      <c r="C24" s="2" t="e">
        <v>#N/A</v>
      </c>
      <c r="D24" s="2" t="e">
        <v>#N/A</v>
      </c>
      <c r="E24" s="2" t="s">
        <v>462</v>
      </c>
      <c r="G24" s="2">
        <v>41</v>
      </c>
      <c r="H24" s="2" t="s">
        <v>15</v>
      </c>
      <c r="J24" s="2" t="s">
        <v>88</v>
      </c>
      <c r="K24" s="2" t="s">
        <v>16</v>
      </c>
      <c r="L24" s="2">
        <v>2</v>
      </c>
      <c r="M24" s="2">
        <v>30</v>
      </c>
      <c r="N24" s="2">
        <v>0.42299999999999999</v>
      </c>
      <c r="O24" s="109">
        <v>6.3449999999999998</v>
      </c>
      <c r="P24" s="2">
        <v>4.8644999999999996</v>
      </c>
      <c r="Q24" s="2" t="s">
        <v>17</v>
      </c>
      <c r="R24" s="2" t="s">
        <v>205</v>
      </c>
      <c r="S24" s="2">
        <v>0.52924099999999996</v>
      </c>
      <c r="T24" s="2">
        <v>1.082E-2</v>
      </c>
      <c r="U24" s="2">
        <v>99.53</v>
      </c>
      <c r="V24" s="2">
        <v>34909292</v>
      </c>
    </row>
    <row r="25" spans="1:22" x14ac:dyDescent="0.25">
      <c r="A25" s="2" t="s">
        <v>41</v>
      </c>
      <c r="B25" s="2" t="s">
        <v>41</v>
      </c>
      <c r="C25" s="2">
        <v>0</v>
      </c>
      <c r="D25" s="2">
        <v>0</v>
      </c>
      <c r="E25" s="2" t="s">
        <v>14</v>
      </c>
      <c r="G25" s="2">
        <v>54</v>
      </c>
      <c r="H25" s="2" t="s">
        <v>15</v>
      </c>
      <c r="J25" s="2" t="s">
        <v>88</v>
      </c>
      <c r="K25" s="2" t="s">
        <v>16</v>
      </c>
      <c r="L25" s="2">
        <v>2</v>
      </c>
      <c r="M25" s="2">
        <v>30</v>
      </c>
      <c r="N25" s="2">
        <v>0.73399999999999999</v>
      </c>
      <c r="O25" s="109">
        <v>11.01</v>
      </c>
      <c r="P25" s="2">
        <v>4.4039999999999999</v>
      </c>
      <c r="Q25" s="2" t="s">
        <v>17</v>
      </c>
      <c r="R25" s="2" t="s">
        <v>42</v>
      </c>
      <c r="S25" s="2">
        <v>0.31561499999999998</v>
      </c>
      <c r="T25" s="2">
        <v>1.0651000000000001E-2</v>
      </c>
      <c r="U25" s="2">
        <v>99.55</v>
      </c>
      <c r="V25" s="2">
        <v>20867049</v>
      </c>
    </row>
    <row r="26" spans="1:22" x14ac:dyDescent="0.25">
      <c r="A26" s="2" t="s">
        <v>43</v>
      </c>
      <c r="B26" s="2" t="s">
        <v>43</v>
      </c>
      <c r="C26" s="2" t="e">
        <v>#N/A</v>
      </c>
      <c r="D26" s="2" t="e">
        <v>#N/A</v>
      </c>
      <c r="E26" s="2" t="s">
        <v>463</v>
      </c>
      <c r="G26" s="2">
        <v>56</v>
      </c>
      <c r="H26" s="2" t="s">
        <v>20</v>
      </c>
      <c r="J26" s="2" t="s">
        <v>88</v>
      </c>
      <c r="K26" s="2" t="s">
        <v>16</v>
      </c>
      <c r="L26" s="2">
        <v>1.9</v>
      </c>
      <c r="M26" s="2">
        <v>30</v>
      </c>
      <c r="N26" s="2">
        <v>0.29399999999999998</v>
      </c>
      <c r="O26" s="109">
        <v>4.6421052631578954</v>
      </c>
      <c r="P26" s="2">
        <v>4.9979999999999993</v>
      </c>
      <c r="Q26" s="2" t="s">
        <v>17</v>
      </c>
      <c r="R26" s="2" t="s">
        <v>42</v>
      </c>
      <c r="S26" s="2">
        <v>0.27711599999999997</v>
      </c>
      <c r="T26" s="2">
        <v>9.6760000000000006E-3</v>
      </c>
      <c r="U26" s="2">
        <v>99.62</v>
      </c>
      <c r="V26" s="2">
        <v>18147246</v>
      </c>
    </row>
    <row r="27" spans="1:22" x14ac:dyDescent="0.25">
      <c r="A27" s="2" t="s">
        <v>44</v>
      </c>
      <c r="B27" s="2" t="s">
        <v>44</v>
      </c>
      <c r="C27" s="2">
        <v>0</v>
      </c>
      <c r="D27" s="2">
        <v>0</v>
      </c>
      <c r="E27" s="2" t="s">
        <v>14</v>
      </c>
      <c r="G27" s="2">
        <v>43</v>
      </c>
      <c r="H27" s="2" t="s">
        <v>15</v>
      </c>
      <c r="J27" s="2" t="s">
        <v>88</v>
      </c>
      <c r="K27" s="2" t="s">
        <v>16</v>
      </c>
      <c r="L27" s="2">
        <v>1.5</v>
      </c>
      <c r="M27" s="2">
        <v>30</v>
      </c>
      <c r="N27" s="2">
        <v>0.33100000000000002</v>
      </c>
      <c r="O27" s="109">
        <v>6.62</v>
      </c>
      <c r="P27" s="2">
        <v>4.9649999999999999</v>
      </c>
      <c r="Q27" s="2" t="s">
        <v>17</v>
      </c>
      <c r="R27" s="2" t="s">
        <v>42</v>
      </c>
      <c r="S27" s="2">
        <v>0.29760599999999998</v>
      </c>
      <c r="T27" s="2">
        <v>1.1140000000000001E-2</v>
      </c>
      <c r="U27" s="2">
        <v>99.57</v>
      </c>
      <c r="V27" s="2">
        <v>19608324</v>
      </c>
    </row>
    <row r="28" spans="1:22" x14ac:dyDescent="0.25">
      <c r="A28" s="2" t="s">
        <v>45</v>
      </c>
      <c r="B28" s="2" t="s">
        <v>45</v>
      </c>
      <c r="C28" s="2">
        <v>0</v>
      </c>
      <c r="D28" s="2">
        <v>0</v>
      </c>
      <c r="E28" s="2" t="s">
        <v>14</v>
      </c>
      <c r="G28" s="2">
        <v>38</v>
      </c>
      <c r="H28" s="2" t="s">
        <v>15</v>
      </c>
      <c r="J28" s="2" t="s">
        <v>88</v>
      </c>
      <c r="K28" s="2" t="s">
        <v>16</v>
      </c>
      <c r="L28" s="2">
        <v>2</v>
      </c>
      <c r="M28" s="2">
        <v>30</v>
      </c>
      <c r="N28" s="2">
        <v>0.51200000000000001</v>
      </c>
      <c r="O28" s="109">
        <v>7.68</v>
      </c>
      <c r="P28" s="2">
        <v>4.6080000000000005</v>
      </c>
      <c r="Q28" s="2" t="s">
        <v>17</v>
      </c>
      <c r="R28" s="2" t="s">
        <v>42</v>
      </c>
      <c r="S28" s="2">
        <v>0.41688500000000001</v>
      </c>
      <c r="T28" s="2">
        <v>1.0160000000000001E-2</v>
      </c>
      <c r="U28" s="2">
        <v>99.57</v>
      </c>
      <c r="V28" s="2">
        <v>27413051</v>
      </c>
    </row>
    <row r="29" spans="1:22" x14ac:dyDescent="0.25">
      <c r="A29" s="2" t="s">
        <v>46</v>
      </c>
      <c r="B29" s="2" t="s">
        <v>46</v>
      </c>
      <c r="C29" s="2">
        <v>0</v>
      </c>
      <c r="D29" s="2">
        <v>0</v>
      </c>
      <c r="E29" s="2" t="s">
        <v>14</v>
      </c>
      <c r="G29" s="2">
        <v>63</v>
      </c>
      <c r="H29" s="2" t="s">
        <v>20</v>
      </c>
      <c r="J29" s="2" t="s">
        <v>88</v>
      </c>
      <c r="K29" s="2" t="s">
        <v>16</v>
      </c>
      <c r="L29" s="2">
        <v>1.5</v>
      </c>
      <c r="M29" s="2">
        <v>30</v>
      </c>
      <c r="N29" s="2">
        <v>0.47299999999999998</v>
      </c>
      <c r="O29" s="109">
        <v>9.4599999999999991</v>
      </c>
      <c r="P29" s="2">
        <v>4.7299999999999995</v>
      </c>
      <c r="Q29" s="2" t="s">
        <v>17</v>
      </c>
      <c r="R29" s="2" t="s">
        <v>42</v>
      </c>
      <c r="S29" s="2">
        <v>0.38274200000000003</v>
      </c>
      <c r="T29" s="2">
        <v>9.0410000000000004E-3</v>
      </c>
      <c r="U29" s="2">
        <v>99.6</v>
      </c>
      <c r="V29" s="2">
        <v>25112817</v>
      </c>
    </row>
    <row r="30" spans="1:22" x14ac:dyDescent="0.25">
      <c r="A30" s="2" t="s">
        <v>47</v>
      </c>
      <c r="B30" s="2" t="s">
        <v>47</v>
      </c>
      <c r="C30" s="2">
        <v>0</v>
      </c>
      <c r="D30" s="2">
        <v>0</v>
      </c>
      <c r="E30" s="2" t="s">
        <v>14</v>
      </c>
      <c r="G30" s="2">
        <v>58</v>
      </c>
      <c r="H30" s="2" t="s">
        <v>20</v>
      </c>
      <c r="J30" s="2" t="s">
        <v>88</v>
      </c>
      <c r="K30" s="2" t="s">
        <v>16</v>
      </c>
      <c r="L30" s="2">
        <v>1.5</v>
      </c>
      <c r="M30" s="2">
        <v>30</v>
      </c>
      <c r="N30" s="2">
        <v>0.32300000000000001</v>
      </c>
      <c r="O30" s="109">
        <v>6.46</v>
      </c>
      <c r="P30" s="2">
        <v>4.8449999999999998</v>
      </c>
      <c r="Q30" s="2" t="s">
        <v>17</v>
      </c>
      <c r="R30" s="2" t="s">
        <v>42</v>
      </c>
      <c r="S30" s="2">
        <v>0.289796</v>
      </c>
      <c r="T30" s="2">
        <v>9.1240000000000002E-3</v>
      </c>
      <c r="U30" s="2">
        <v>99.62</v>
      </c>
      <c r="V30" s="2">
        <v>18923741</v>
      </c>
    </row>
    <row r="31" spans="1:22" x14ac:dyDescent="0.25">
      <c r="A31" s="2" t="s">
        <v>48</v>
      </c>
      <c r="B31" s="2" t="s">
        <v>48</v>
      </c>
      <c r="C31" s="2">
        <v>0</v>
      </c>
      <c r="D31" s="2">
        <v>0</v>
      </c>
      <c r="E31" s="2" t="s">
        <v>14</v>
      </c>
      <c r="G31" s="2">
        <v>64</v>
      </c>
      <c r="H31" s="2" t="s">
        <v>20</v>
      </c>
      <c r="J31" s="2" t="s">
        <v>88</v>
      </c>
      <c r="K31" s="2" t="s">
        <v>16</v>
      </c>
      <c r="L31" s="2">
        <v>1.7</v>
      </c>
      <c r="M31" s="2">
        <v>30</v>
      </c>
      <c r="N31" s="2">
        <v>1.1100000000000001</v>
      </c>
      <c r="O31" s="109">
        <v>19.588235294117649</v>
      </c>
      <c r="P31" s="2">
        <v>4.9950000000000001</v>
      </c>
      <c r="Q31" s="2" t="s">
        <v>17</v>
      </c>
      <c r="R31" s="2" t="s">
        <v>42</v>
      </c>
      <c r="S31" s="2">
        <v>0.39972200000000002</v>
      </c>
      <c r="T31" s="2">
        <v>1.2503999999999999E-2</v>
      </c>
      <c r="U31" s="2">
        <v>99.61</v>
      </c>
      <c r="V31" s="2">
        <v>26240322</v>
      </c>
    </row>
    <row r="32" spans="1:22" x14ac:dyDescent="0.25">
      <c r="A32" s="2" t="s">
        <v>187</v>
      </c>
      <c r="B32" s="2" t="s">
        <v>187</v>
      </c>
      <c r="C32" s="2">
        <v>1</v>
      </c>
      <c r="D32" s="2">
        <v>4</v>
      </c>
      <c r="E32" s="2" t="s">
        <v>90</v>
      </c>
      <c r="G32" s="2">
        <v>75</v>
      </c>
      <c r="H32" s="2" t="s">
        <v>15</v>
      </c>
      <c r="J32" s="2" t="s">
        <v>88</v>
      </c>
      <c r="K32" s="2" t="s">
        <v>16</v>
      </c>
      <c r="L32" s="2">
        <v>1.8</v>
      </c>
      <c r="M32" s="2">
        <v>30</v>
      </c>
      <c r="N32" s="2">
        <v>0.40400000000000003</v>
      </c>
      <c r="O32" s="109">
        <v>6.7333333333333334</v>
      </c>
      <c r="P32" s="2">
        <v>4.8480000000000008</v>
      </c>
      <c r="Q32" s="2" t="s">
        <v>17</v>
      </c>
      <c r="R32" s="2" t="s">
        <v>205</v>
      </c>
      <c r="S32" s="2">
        <v>0.52542</v>
      </c>
      <c r="T32" s="2">
        <v>7.737E-3</v>
      </c>
      <c r="U32" s="2">
        <v>99.55</v>
      </c>
      <c r="V32" s="2">
        <v>34692926</v>
      </c>
    </row>
    <row r="33" spans="1:22" x14ac:dyDescent="0.25">
      <c r="A33" s="2" t="s">
        <v>188</v>
      </c>
      <c r="B33" s="2" t="s">
        <v>188</v>
      </c>
      <c r="C33" s="2">
        <v>0</v>
      </c>
      <c r="D33" s="2">
        <v>0</v>
      </c>
      <c r="E33" s="2" t="s">
        <v>14</v>
      </c>
      <c r="G33" s="2">
        <v>55</v>
      </c>
      <c r="H33" s="2" t="s">
        <v>15</v>
      </c>
      <c r="J33" s="2" t="s">
        <v>88</v>
      </c>
      <c r="K33" s="2" t="s">
        <v>16</v>
      </c>
      <c r="L33" s="2">
        <v>1.7</v>
      </c>
      <c r="M33" s="2">
        <v>30</v>
      </c>
      <c r="N33" s="2">
        <v>0.57199999999999995</v>
      </c>
      <c r="O33" s="109">
        <v>10.094117647058823</v>
      </c>
      <c r="P33" s="2">
        <v>4.8619999999999992</v>
      </c>
      <c r="Q33" s="2" t="s">
        <v>17</v>
      </c>
      <c r="R33" s="2" t="s">
        <v>205</v>
      </c>
      <c r="S33" s="2">
        <v>0.54349800000000004</v>
      </c>
      <c r="T33" s="2">
        <v>8.3689999999999997E-3</v>
      </c>
      <c r="U33" s="2">
        <v>99.6</v>
      </c>
      <c r="V33" s="2">
        <v>35719789</v>
      </c>
    </row>
    <row r="34" spans="1:22" x14ac:dyDescent="0.25">
      <c r="A34" s="2" t="s">
        <v>189</v>
      </c>
      <c r="B34" s="2" t="s">
        <v>189</v>
      </c>
      <c r="C34" s="2">
        <v>0</v>
      </c>
      <c r="D34" s="2">
        <v>0</v>
      </c>
      <c r="E34" s="2" t="s">
        <v>14</v>
      </c>
      <c r="G34" s="2">
        <v>48</v>
      </c>
      <c r="H34" s="2" t="s">
        <v>20</v>
      </c>
      <c r="J34" s="2" t="s">
        <v>88</v>
      </c>
      <c r="K34" s="2" t="s">
        <v>16</v>
      </c>
      <c r="L34" s="2">
        <v>1.7</v>
      </c>
      <c r="M34" s="2">
        <v>30</v>
      </c>
      <c r="N34" s="2">
        <v>0.247</v>
      </c>
      <c r="O34" s="109">
        <v>4.3588235294117652</v>
      </c>
      <c r="P34" s="2">
        <v>4.4459999999999997</v>
      </c>
      <c r="Q34" s="2" t="s">
        <v>17</v>
      </c>
      <c r="R34" s="2" t="s">
        <v>205</v>
      </c>
      <c r="S34" s="2">
        <v>0.49839600000000001</v>
      </c>
      <c r="T34" s="2">
        <v>8.5089999999999992E-3</v>
      </c>
      <c r="U34" s="2">
        <v>99.62</v>
      </c>
      <c r="V34" s="2">
        <v>32704685</v>
      </c>
    </row>
    <row r="35" spans="1:22" x14ac:dyDescent="0.25">
      <c r="A35" s="2" t="s">
        <v>190</v>
      </c>
      <c r="B35" s="2" t="s">
        <v>190</v>
      </c>
      <c r="C35" s="2" t="e">
        <v>#N/A</v>
      </c>
      <c r="D35" s="2" t="e">
        <v>#N/A</v>
      </c>
      <c r="E35" s="2" t="s">
        <v>463</v>
      </c>
      <c r="G35" s="2">
        <v>67</v>
      </c>
      <c r="H35" s="2" t="s">
        <v>15</v>
      </c>
      <c r="J35" s="2" t="s">
        <v>88</v>
      </c>
      <c r="K35" s="2" t="s">
        <v>16</v>
      </c>
      <c r="L35" s="2">
        <v>1.5</v>
      </c>
      <c r="M35" s="2">
        <v>30</v>
      </c>
      <c r="N35" s="2">
        <v>0.56899999999999995</v>
      </c>
      <c r="O35" s="109">
        <v>11.38</v>
      </c>
      <c r="P35" s="2">
        <v>4.8364999999999991</v>
      </c>
      <c r="Q35" s="2" t="s">
        <v>17</v>
      </c>
      <c r="R35" s="2" t="s">
        <v>205</v>
      </c>
      <c r="S35" s="2">
        <v>0.552786</v>
      </c>
      <c r="T35" s="2">
        <v>7.522E-3</v>
      </c>
      <c r="U35" s="2">
        <v>99.6</v>
      </c>
      <c r="V35" s="2">
        <v>36290020</v>
      </c>
    </row>
    <row r="36" spans="1:22" x14ac:dyDescent="0.25">
      <c r="A36" s="2" t="s">
        <v>49</v>
      </c>
      <c r="B36" s="2" t="s">
        <v>49</v>
      </c>
      <c r="C36" s="2">
        <v>0</v>
      </c>
      <c r="D36" s="2">
        <v>0</v>
      </c>
      <c r="E36" s="2" t="s">
        <v>14</v>
      </c>
      <c r="G36" s="2">
        <v>68</v>
      </c>
      <c r="H36" s="2" t="s">
        <v>20</v>
      </c>
      <c r="J36" s="2" t="s">
        <v>88</v>
      </c>
      <c r="K36" s="2" t="s">
        <v>16</v>
      </c>
      <c r="L36" s="2">
        <v>2</v>
      </c>
      <c r="M36" s="2">
        <v>30</v>
      </c>
      <c r="N36" s="2">
        <v>0.44500000000000001</v>
      </c>
      <c r="O36" s="109">
        <v>6.6749999999999998</v>
      </c>
      <c r="P36" s="2">
        <v>4.8950000000000005</v>
      </c>
      <c r="Q36" s="2" t="s">
        <v>17</v>
      </c>
      <c r="R36" s="2" t="s">
        <v>42</v>
      </c>
      <c r="S36" s="2">
        <v>0.32072200000000001</v>
      </c>
      <c r="T36" s="2">
        <v>9.3380000000000008E-3</v>
      </c>
      <c r="U36" s="2">
        <v>99.58</v>
      </c>
      <c r="V36" s="2">
        <v>21049423</v>
      </c>
    </row>
    <row r="37" spans="1:22" x14ac:dyDescent="0.25">
      <c r="A37" s="2" t="s">
        <v>50</v>
      </c>
      <c r="B37" s="2" t="s">
        <v>50</v>
      </c>
      <c r="C37" s="2">
        <v>0</v>
      </c>
      <c r="D37" s="2">
        <v>0</v>
      </c>
      <c r="E37" s="2" t="s">
        <v>14</v>
      </c>
      <c r="G37" s="2">
        <v>49</v>
      </c>
      <c r="H37" s="2" t="s">
        <v>15</v>
      </c>
      <c r="J37" s="2" t="s">
        <v>88</v>
      </c>
      <c r="K37" s="2" t="s">
        <v>16</v>
      </c>
      <c r="L37" s="2">
        <v>2</v>
      </c>
      <c r="M37" s="2">
        <v>30</v>
      </c>
      <c r="N37" s="2">
        <v>0.21099999999999999</v>
      </c>
      <c r="O37" s="109">
        <v>3.165</v>
      </c>
      <c r="P37" s="2">
        <v>3.798</v>
      </c>
      <c r="Q37" s="2" t="s">
        <v>17</v>
      </c>
      <c r="R37" s="2" t="s">
        <v>42</v>
      </c>
      <c r="S37" s="2">
        <v>0.267569</v>
      </c>
      <c r="T37" s="2">
        <v>1.0479E-2</v>
      </c>
      <c r="U37" s="2">
        <v>99.55</v>
      </c>
      <c r="V37" s="2">
        <v>17689869</v>
      </c>
    </row>
    <row r="38" spans="1:22" x14ac:dyDescent="0.25">
      <c r="A38" s="2" t="s">
        <v>51</v>
      </c>
      <c r="B38" s="2" t="s">
        <v>51</v>
      </c>
      <c r="C38" s="2">
        <v>0</v>
      </c>
      <c r="D38" s="2">
        <v>0</v>
      </c>
      <c r="E38" s="2" t="s">
        <v>14</v>
      </c>
      <c r="G38" s="2">
        <v>54</v>
      </c>
      <c r="H38" s="2" t="s">
        <v>15</v>
      </c>
      <c r="J38" s="2" t="s">
        <v>88</v>
      </c>
      <c r="K38" s="2" t="s">
        <v>16</v>
      </c>
      <c r="L38" s="2">
        <v>2</v>
      </c>
      <c r="M38" s="2">
        <v>30</v>
      </c>
      <c r="N38" s="2">
        <v>0.56599999999999995</v>
      </c>
      <c r="O38" s="109">
        <v>8.4899999999999984</v>
      </c>
      <c r="P38" s="2">
        <v>4.8109999999999999</v>
      </c>
      <c r="Q38" s="2" t="s">
        <v>17</v>
      </c>
      <c r="R38" s="2" t="s">
        <v>42</v>
      </c>
      <c r="S38" s="2">
        <v>0.37936700000000001</v>
      </c>
      <c r="T38" s="2">
        <v>1.0581999999999999E-2</v>
      </c>
      <c r="U38" s="2">
        <v>99.57</v>
      </c>
      <c r="V38" s="2">
        <v>24959516</v>
      </c>
    </row>
    <row r="39" spans="1:22" x14ac:dyDescent="0.25">
      <c r="A39" s="2" t="s">
        <v>52</v>
      </c>
      <c r="B39" s="2" t="s">
        <v>52</v>
      </c>
      <c r="C39" s="2">
        <v>0</v>
      </c>
      <c r="D39" s="2">
        <v>0</v>
      </c>
      <c r="E39" s="2" t="s">
        <v>14</v>
      </c>
      <c r="G39" s="2">
        <v>60</v>
      </c>
      <c r="H39" s="2" t="s">
        <v>20</v>
      </c>
      <c r="J39" s="2" t="s">
        <v>88</v>
      </c>
      <c r="K39" s="2" t="s">
        <v>16</v>
      </c>
      <c r="L39" s="2">
        <v>2</v>
      </c>
      <c r="M39" s="2">
        <v>30</v>
      </c>
      <c r="N39" s="2">
        <v>0.249</v>
      </c>
      <c r="O39" s="109">
        <v>3.7349999999999999</v>
      </c>
      <c r="P39" s="2">
        <v>4.4820000000000002</v>
      </c>
      <c r="Q39" s="2" t="s">
        <v>17</v>
      </c>
      <c r="R39" s="2" t="s">
        <v>42</v>
      </c>
      <c r="S39" s="2">
        <v>0.27047500000000002</v>
      </c>
      <c r="T39" s="2">
        <v>9.7429999999999999E-3</v>
      </c>
      <c r="U39" s="2">
        <v>99.59</v>
      </c>
      <c r="V39" s="2">
        <v>17746553</v>
      </c>
    </row>
    <row r="40" spans="1:22" x14ac:dyDescent="0.25">
      <c r="A40" s="2" t="s">
        <v>53</v>
      </c>
      <c r="B40" s="2" t="s">
        <v>53</v>
      </c>
      <c r="C40" s="2">
        <v>0</v>
      </c>
      <c r="D40" s="2">
        <v>0</v>
      </c>
      <c r="E40" s="2" t="s">
        <v>14</v>
      </c>
      <c r="G40" s="2">
        <v>61</v>
      </c>
      <c r="H40" s="2" t="s">
        <v>20</v>
      </c>
      <c r="J40" s="2" t="s">
        <v>88</v>
      </c>
      <c r="K40" s="2" t="s">
        <v>16</v>
      </c>
      <c r="L40" s="2">
        <v>1.5</v>
      </c>
      <c r="M40" s="2">
        <v>30</v>
      </c>
      <c r="N40" s="2">
        <v>0.30199999999999999</v>
      </c>
      <c r="O40" s="109">
        <v>6.04</v>
      </c>
      <c r="P40" s="2">
        <v>4.8319999999999999</v>
      </c>
      <c r="Q40" s="2" t="s">
        <v>17</v>
      </c>
      <c r="R40" s="2" t="s">
        <v>54</v>
      </c>
      <c r="S40" s="2">
        <v>0.499973</v>
      </c>
      <c r="T40" s="2">
        <v>5.9480000000000002E-3</v>
      </c>
      <c r="U40" s="2">
        <v>99.64</v>
      </c>
      <c r="V40" s="2">
        <v>32676907</v>
      </c>
    </row>
    <row r="41" spans="1:22" x14ac:dyDescent="0.25">
      <c r="A41" s="2" t="s">
        <v>55</v>
      </c>
      <c r="B41" s="2" t="s">
        <v>55</v>
      </c>
      <c r="C41" s="2">
        <v>0</v>
      </c>
      <c r="D41" s="2">
        <v>0</v>
      </c>
      <c r="E41" s="2" t="s">
        <v>14</v>
      </c>
      <c r="G41" s="2">
        <v>50</v>
      </c>
      <c r="H41" s="2" t="s">
        <v>20</v>
      </c>
      <c r="J41" s="2" t="s">
        <v>88</v>
      </c>
      <c r="K41" s="2" t="s">
        <v>16</v>
      </c>
      <c r="L41" s="2">
        <v>1.5</v>
      </c>
      <c r="M41" s="2">
        <v>30</v>
      </c>
      <c r="N41" s="2">
        <v>0.32200000000000001</v>
      </c>
      <c r="O41" s="109">
        <v>6.44</v>
      </c>
      <c r="P41" s="2">
        <v>4.83</v>
      </c>
      <c r="Q41" s="2" t="s">
        <v>17</v>
      </c>
      <c r="R41" s="2" t="s">
        <v>54</v>
      </c>
      <c r="S41" s="2">
        <v>0.64343700000000004</v>
      </c>
      <c r="T41" s="2">
        <v>6.8690000000000001E-3</v>
      </c>
      <c r="U41" s="2">
        <v>99.62</v>
      </c>
      <c r="V41" s="2">
        <v>42211195</v>
      </c>
    </row>
    <row r="42" spans="1:22" x14ac:dyDescent="0.25">
      <c r="A42" s="2" t="s">
        <v>56</v>
      </c>
      <c r="B42" s="2" t="s">
        <v>56</v>
      </c>
      <c r="C42" s="2">
        <v>0</v>
      </c>
      <c r="D42" s="2">
        <v>0</v>
      </c>
      <c r="E42" s="2" t="s">
        <v>14</v>
      </c>
      <c r="G42" s="2">
        <v>46</v>
      </c>
      <c r="H42" s="2" t="s">
        <v>20</v>
      </c>
      <c r="J42" s="2" t="s">
        <v>88</v>
      </c>
      <c r="K42" s="2" t="s">
        <v>16</v>
      </c>
      <c r="L42" s="2">
        <v>2</v>
      </c>
      <c r="M42" s="2">
        <v>30</v>
      </c>
      <c r="N42" s="2">
        <v>0.21</v>
      </c>
      <c r="O42" s="109">
        <v>3.15</v>
      </c>
      <c r="P42" s="2">
        <v>3.78</v>
      </c>
      <c r="Q42" s="2" t="s">
        <v>17</v>
      </c>
      <c r="R42" s="2" t="s">
        <v>54</v>
      </c>
      <c r="S42" s="2">
        <v>0.51242600000000005</v>
      </c>
      <c r="T42" s="2">
        <v>5.7670000000000004E-3</v>
      </c>
      <c r="U42" s="2">
        <v>99.62</v>
      </c>
      <c r="V42" s="2">
        <v>33500419</v>
      </c>
    </row>
    <row r="43" spans="1:22" x14ac:dyDescent="0.25">
      <c r="A43" s="2" t="s">
        <v>57</v>
      </c>
      <c r="B43" s="2" t="s">
        <v>57</v>
      </c>
      <c r="C43" s="2">
        <v>0</v>
      </c>
      <c r="D43" s="2">
        <v>0</v>
      </c>
      <c r="E43" s="2" t="s">
        <v>14</v>
      </c>
      <c r="G43" s="2">
        <v>61</v>
      </c>
      <c r="H43" s="2" t="s">
        <v>20</v>
      </c>
      <c r="J43" s="2" t="s">
        <v>88</v>
      </c>
      <c r="K43" s="2" t="s">
        <v>16</v>
      </c>
      <c r="L43" s="2">
        <v>1.8</v>
      </c>
      <c r="M43" s="2">
        <v>30</v>
      </c>
      <c r="N43" s="2">
        <v>0.33400000000000002</v>
      </c>
      <c r="O43" s="109">
        <v>5.5666666666666673</v>
      </c>
      <c r="P43" s="2">
        <v>4.843</v>
      </c>
      <c r="Q43" s="2" t="s">
        <v>17</v>
      </c>
      <c r="R43" s="2" t="s">
        <v>54</v>
      </c>
      <c r="S43" s="2">
        <v>0.57242499999999996</v>
      </c>
      <c r="T43" s="2">
        <v>5.8149999999999999E-3</v>
      </c>
      <c r="U43" s="2">
        <v>99.62</v>
      </c>
      <c r="V43" s="2">
        <v>37384990</v>
      </c>
    </row>
    <row r="44" spans="1:22" x14ac:dyDescent="0.25">
      <c r="A44" s="2" t="s">
        <v>58</v>
      </c>
      <c r="B44" s="2" t="s">
        <v>58</v>
      </c>
      <c r="C44" s="2">
        <v>0</v>
      </c>
      <c r="D44" s="2">
        <v>0</v>
      </c>
      <c r="E44" s="2" t="s">
        <v>14</v>
      </c>
      <c r="G44" s="2">
        <v>63</v>
      </c>
      <c r="H44" s="2" t="s">
        <v>15</v>
      </c>
      <c r="J44" s="2" t="s">
        <v>88</v>
      </c>
      <c r="K44" s="2" t="s">
        <v>16</v>
      </c>
      <c r="L44" s="2">
        <v>2</v>
      </c>
      <c r="M44" s="2">
        <v>30</v>
      </c>
      <c r="N44" s="2">
        <v>0.60699999999999998</v>
      </c>
      <c r="O44" s="109">
        <v>9.1050000000000004</v>
      </c>
      <c r="P44" s="2">
        <v>4.8559999999999999</v>
      </c>
      <c r="Q44" s="2" t="s">
        <v>17</v>
      </c>
      <c r="R44" s="2" t="s">
        <v>59</v>
      </c>
      <c r="S44" s="2">
        <v>0.42850700000000003</v>
      </c>
      <c r="T44" s="2">
        <v>7.45E-3</v>
      </c>
      <c r="U44" s="2">
        <v>99.56</v>
      </c>
      <c r="V44" s="2">
        <v>28233420</v>
      </c>
    </row>
    <row r="45" spans="1:22" x14ac:dyDescent="0.25">
      <c r="A45" s="2" t="s">
        <v>60</v>
      </c>
      <c r="B45" s="2" t="s">
        <v>60</v>
      </c>
      <c r="C45" s="2">
        <v>0</v>
      </c>
      <c r="D45" s="2">
        <v>0</v>
      </c>
      <c r="E45" s="2" t="s">
        <v>14</v>
      </c>
      <c r="G45" s="2">
        <v>53</v>
      </c>
      <c r="H45" s="2" t="s">
        <v>15</v>
      </c>
      <c r="J45" s="2" t="s">
        <v>88</v>
      </c>
      <c r="K45" s="2" t="s">
        <v>16</v>
      </c>
      <c r="L45" s="2">
        <v>2</v>
      </c>
      <c r="M45" s="2">
        <v>30</v>
      </c>
      <c r="N45" s="2">
        <v>0.42299999999999999</v>
      </c>
      <c r="O45" s="109">
        <v>6.3449999999999998</v>
      </c>
      <c r="P45" s="2">
        <v>4.8644999999999996</v>
      </c>
      <c r="Q45" s="2" t="s">
        <v>17</v>
      </c>
      <c r="R45" s="2" t="s">
        <v>59</v>
      </c>
      <c r="S45" s="2">
        <v>0.47809600000000002</v>
      </c>
      <c r="T45" s="2">
        <v>8.404E-3</v>
      </c>
      <c r="U45" s="2">
        <v>99.56</v>
      </c>
      <c r="V45" s="2">
        <v>31380943</v>
      </c>
    </row>
    <row r="46" spans="1:22" x14ac:dyDescent="0.25">
      <c r="A46" s="2" t="s">
        <v>61</v>
      </c>
      <c r="B46" s="2" t="s">
        <v>61</v>
      </c>
      <c r="C46" s="2">
        <v>0</v>
      </c>
      <c r="D46" s="2">
        <v>0</v>
      </c>
      <c r="E46" s="2" t="s">
        <v>14</v>
      </c>
      <c r="G46" s="2">
        <v>56</v>
      </c>
      <c r="H46" s="2" t="s">
        <v>15</v>
      </c>
      <c r="J46" s="2" t="s">
        <v>88</v>
      </c>
      <c r="K46" s="2" t="s">
        <v>16</v>
      </c>
      <c r="L46" s="2">
        <v>2</v>
      </c>
      <c r="M46" s="2">
        <v>30</v>
      </c>
      <c r="N46" s="2">
        <v>0.32900000000000001</v>
      </c>
      <c r="O46" s="109">
        <v>4.9350000000000005</v>
      </c>
      <c r="P46" s="2">
        <v>4.9350000000000005</v>
      </c>
      <c r="Q46" s="2" t="s">
        <v>17</v>
      </c>
      <c r="R46" s="2" t="s">
        <v>59</v>
      </c>
      <c r="S46" s="2">
        <v>0.52008600000000005</v>
      </c>
      <c r="T46" s="2">
        <v>9.1500000000000001E-3</v>
      </c>
      <c r="U46" s="2">
        <v>99.55</v>
      </c>
      <c r="V46" s="2">
        <v>34360292</v>
      </c>
    </row>
    <row r="47" spans="1:22" x14ac:dyDescent="0.25">
      <c r="A47" s="2" t="s">
        <v>62</v>
      </c>
      <c r="B47" s="2" t="s">
        <v>62</v>
      </c>
      <c r="C47" s="2">
        <v>0</v>
      </c>
      <c r="D47" s="2">
        <v>0</v>
      </c>
      <c r="E47" s="2" t="s">
        <v>14</v>
      </c>
      <c r="G47" s="2">
        <v>59</v>
      </c>
      <c r="H47" s="2" t="s">
        <v>20</v>
      </c>
      <c r="J47" s="2" t="s">
        <v>88</v>
      </c>
      <c r="K47" s="2" t="s">
        <v>16</v>
      </c>
      <c r="L47" s="2">
        <v>1.5</v>
      </c>
      <c r="M47" s="2">
        <v>30</v>
      </c>
      <c r="N47" s="2">
        <v>0.40500000000000003</v>
      </c>
      <c r="O47" s="109">
        <v>8.1</v>
      </c>
      <c r="P47" s="2">
        <v>4.8600000000000003</v>
      </c>
      <c r="Q47" s="2" t="s">
        <v>17</v>
      </c>
      <c r="R47" s="2" t="s">
        <v>59</v>
      </c>
      <c r="S47" s="2">
        <v>0.484236</v>
      </c>
      <c r="T47" s="2">
        <v>8.2769999999999996E-3</v>
      </c>
      <c r="U47" s="2">
        <v>99.6</v>
      </c>
      <c r="V47" s="2">
        <v>31737150</v>
      </c>
    </row>
    <row r="48" spans="1:22" x14ac:dyDescent="0.25">
      <c r="A48" s="2" t="s">
        <v>63</v>
      </c>
      <c r="B48" s="2" t="s">
        <v>63</v>
      </c>
      <c r="C48" s="2">
        <v>0</v>
      </c>
      <c r="D48" s="2">
        <v>0</v>
      </c>
      <c r="E48" s="2" t="s">
        <v>14</v>
      </c>
      <c r="G48" s="2">
        <v>53</v>
      </c>
      <c r="H48" s="2" t="s">
        <v>15</v>
      </c>
      <c r="J48" s="2" t="s">
        <v>88</v>
      </c>
      <c r="K48" s="2" t="s">
        <v>16</v>
      </c>
      <c r="L48" s="2">
        <v>1.9</v>
      </c>
      <c r="M48" s="2">
        <v>30</v>
      </c>
      <c r="N48" s="2">
        <v>0.57499999999999996</v>
      </c>
      <c r="O48" s="109">
        <v>9.0789473684210531</v>
      </c>
      <c r="P48" s="2">
        <v>4.8874999999999993</v>
      </c>
      <c r="Q48" s="2" t="s">
        <v>17</v>
      </c>
      <c r="R48" s="2" t="s">
        <v>59</v>
      </c>
      <c r="S48" s="2">
        <v>0.47837400000000002</v>
      </c>
      <c r="T48" s="2">
        <v>8.0309999999999999E-3</v>
      </c>
      <c r="U48" s="2">
        <v>99.6</v>
      </c>
      <c r="V48" s="2">
        <v>31559264</v>
      </c>
    </row>
    <row r="49" spans="1:22" x14ac:dyDescent="0.25">
      <c r="A49" s="2" t="s">
        <v>64</v>
      </c>
      <c r="B49" s="2" t="s">
        <v>64</v>
      </c>
      <c r="C49" s="2">
        <v>0</v>
      </c>
      <c r="D49" s="2">
        <v>0</v>
      </c>
      <c r="E49" s="2" t="s">
        <v>14</v>
      </c>
      <c r="G49" s="2">
        <v>72</v>
      </c>
      <c r="H49" s="2" t="s">
        <v>20</v>
      </c>
      <c r="J49" s="2" t="s">
        <v>88</v>
      </c>
      <c r="K49" s="2" t="s">
        <v>16</v>
      </c>
      <c r="L49" s="2">
        <v>2</v>
      </c>
      <c r="M49" s="2">
        <v>30</v>
      </c>
      <c r="N49" s="2">
        <v>0.48</v>
      </c>
      <c r="O49" s="109">
        <v>7.1999999999999993</v>
      </c>
      <c r="P49" s="2">
        <v>4.8</v>
      </c>
      <c r="Q49" s="2" t="s">
        <v>17</v>
      </c>
      <c r="R49" s="2" t="s">
        <v>59</v>
      </c>
      <c r="S49" s="2">
        <v>0.58307699999999996</v>
      </c>
      <c r="T49" s="2">
        <v>8.4379999999999993E-3</v>
      </c>
      <c r="U49" s="2">
        <v>99.64</v>
      </c>
      <c r="V49" s="2">
        <v>37998954</v>
      </c>
    </row>
    <row r="50" spans="1:22" x14ac:dyDescent="0.25">
      <c r="A50" s="2" t="s">
        <v>65</v>
      </c>
      <c r="B50" s="2" t="s">
        <v>65</v>
      </c>
      <c r="C50" s="2">
        <v>0</v>
      </c>
      <c r="D50" s="2">
        <v>0</v>
      </c>
      <c r="E50" s="2" t="s">
        <v>14</v>
      </c>
      <c r="G50" s="2">
        <v>40</v>
      </c>
      <c r="H50" s="2" t="s">
        <v>15</v>
      </c>
      <c r="J50" s="2" t="s">
        <v>88</v>
      </c>
      <c r="K50" s="2" t="s">
        <v>16</v>
      </c>
      <c r="L50" s="2">
        <v>2</v>
      </c>
      <c r="M50" s="2">
        <v>30</v>
      </c>
      <c r="N50" s="2">
        <v>0.747</v>
      </c>
      <c r="O50" s="109">
        <v>11.205</v>
      </c>
      <c r="P50" s="2">
        <v>4.8555000000000001</v>
      </c>
      <c r="Q50" s="2" t="s">
        <v>17</v>
      </c>
      <c r="R50" s="2" t="s">
        <v>59</v>
      </c>
      <c r="S50" s="2">
        <v>0.54592099999999999</v>
      </c>
      <c r="T50" s="2">
        <v>8.4019999999999997E-3</v>
      </c>
      <c r="U50" s="2">
        <v>99.53</v>
      </c>
      <c r="V50" s="2">
        <v>36067535</v>
      </c>
    </row>
    <row r="51" spans="1:22" x14ac:dyDescent="0.25">
      <c r="A51" s="2" t="s">
        <v>66</v>
      </c>
      <c r="B51" s="2" t="s">
        <v>66</v>
      </c>
      <c r="C51" s="2" t="e">
        <v>#N/A</v>
      </c>
      <c r="D51" s="2" t="e">
        <v>#N/A</v>
      </c>
      <c r="E51" s="2" t="s">
        <v>463</v>
      </c>
      <c r="G51" s="2">
        <v>54</v>
      </c>
      <c r="H51" s="2" t="s">
        <v>15</v>
      </c>
      <c r="J51" s="2" t="s">
        <v>88</v>
      </c>
      <c r="K51" s="2" t="s">
        <v>16</v>
      </c>
      <c r="L51" s="2">
        <v>2</v>
      </c>
      <c r="M51" s="2">
        <v>30</v>
      </c>
      <c r="N51" s="2">
        <v>0.379</v>
      </c>
      <c r="O51" s="109">
        <v>5.6850000000000005</v>
      </c>
      <c r="P51" s="2">
        <v>4.9269999999999996</v>
      </c>
      <c r="Q51" s="2" t="s">
        <v>17</v>
      </c>
      <c r="R51" s="2" t="s">
        <v>59</v>
      </c>
      <c r="S51" s="2">
        <v>0.53273999999999999</v>
      </c>
      <c r="T51" s="2">
        <v>7.7520000000000002E-3</v>
      </c>
      <c r="U51" s="2">
        <v>99.62</v>
      </c>
      <c r="V51" s="2">
        <v>35157057</v>
      </c>
    </row>
    <row r="52" spans="1:22" x14ac:dyDescent="0.25">
      <c r="A52" s="2" t="s">
        <v>67</v>
      </c>
      <c r="B52" s="2" t="s">
        <v>67</v>
      </c>
      <c r="C52" s="2">
        <v>0</v>
      </c>
      <c r="D52" s="2">
        <v>0</v>
      </c>
      <c r="E52" s="2" t="s">
        <v>14</v>
      </c>
      <c r="G52" s="2">
        <v>56</v>
      </c>
      <c r="H52" s="2" t="s">
        <v>20</v>
      </c>
      <c r="J52" s="2" t="s">
        <v>88</v>
      </c>
      <c r="K52" s="2" t="s">
        <v>16</v>
      </c>
      <c r="L52" s="2">
        <v>2</v>
      </c>
      <c r="M52" s="2">
        <v>30</v>
      </c>
      <c r="N52" s="2">
        <v>0.20300000000000001</v>
      </c>
      <c r="O52" s="109">
        <v>3.0450000000000004</v>
      </c>
      <c r="P52" s="2">
        <v>3.6540000000000004</v>
      </c>
      <c r="Q52" s="2" t="s">
        <v>17</v>
      </c>
      <c r="R52" s="2" t="s">
        <v>68</v>
      </c>
      <c r="S52" s="2">
        <v>0.57304100000000002</v>
      </c>
      <c r="T52" s="2">
        <v>6.3740000000000003E-3</v>
      </c>
      <c r="U52" s="2">
        <v>99.62</v>
      </c>
      <c r="V52" s="2">
        <v>37710485</v>
      </c>
    </row>
    <row r="53" spans="1:22" x14ac:dyDescent="0.25">
      <c r="A53" s="2" t="s">
        <v>69</v>
      </c>
      <c r="B53" s="2" t="s">
        <v>69</v>
      </c>
      <c r="C53" s="2">
        <v>0</v>
      </c>
      <c r="D53" s="2">
        <v>0</v>
      </c>
      <c r="E53" s="2" t="s">
        <v>14</v>
      </c>
      <c r="G53" s="2">
        <v>63</v>
      </c>
      <c r="H53" s="2" t="s">
        <v>15</v>
      </c>
      <c r="J53" s="2" t="s">
        <v>88</v>
      </c>
      <c r="K53" s="2" t="s">
        <v>16</v>
      </c>
      <c r="L53" s="2">
        <v>1.5</v>
      </c>
      <c r="M53" s="2">
        <v>30</v>
      </c>
      <c r="N53" s="2">
        <v>0.27400000000000002</v>
      </c>
      <c r="O53" s="109">
        <v>5.48</v>
      </c>
      <c r="P53" s="2">
        <v>4.9320000000000004</v>
      </c>
      <c r="Q53" s="2" t="s">
        <v>17</v>
      </c>
      <c r="R53" s="2" t="s">
        <v>68</v>
      </c>
      <c r="S53" s="2">
        <v>0.58460599999999996</v>
      </c>
      <c r="T53" s="2">
        <v>8.8500000000000002E-3</v>
      </c>
      <c r="U53" s="2">
        <v>99.52</v>
      </c>
      <c r="V53" s="2">
        <v>38677387</v>
      </c>
    </row>
    <row r="54" spans="1:22" x14ac:dyDescent="0.25">
      <c r="A54" s="2" t="s">
        <v>70</v>
      </c>
      <c r="B54" s="2" t="s">
        <v>70</v>
      </c>
      <c r="C54" s="2">
        <v>0</v>
      </c>
      <c r="D54" s="2">
        <v>0</v>
      </c>
      <c r="E54" s="2" t="s">
        <v>14</v>
      </c>
      <c r="G54" s="2">
        <v>56</v>
      </c>
      <c r="H54" s="2" t="s">
        <v>20</v>
      </c>
      <c r="J54" s="2" t="s">
        <v>88</v>
      </c>
      <c r="K54" s="2" t="s">
        <v>16</v>
      </c>
      <c r="L54" s="2">
        <v>2</v>
      </c>
      <c r="M54" s="2">
        <v>30</v>
      </c>
      <c r="N54" s="2">
        <v>0.39300000000000002</v>
      </c>
      <c r="O54" s="109">
        <v>5.8950000000000005</v>
      </c>
      <c r="P54" s="2">
        <v>4.9125000000000005</v>
      </c>
      <c r="Q54" s="2" t="s">
        <v>17</v>
      </c>
      <c r="R54" s="2" t="s">
        <v>68</v>
      </c>
      <c r="S54" s="2">
        <v>0.480605</v>
      </c>
      <c r="T54" s="2">
        <v>6.5310000000000003E-3</v>
      </c>
      <c r="U54" s="2">
        <v>99.62</v>
      </c>
      <c r="V54" s="2">
        <v>31546876</v>
      </c>
    </row>
    <row r="55" spans="1:22" x14ac:dyDescent="0.25">
      <c r="A55" s="2" t="s">
        <v>71</v>
      </c>
      <c r="B55" s="2" t="s">
        <v>71</v>
      </c>
      <c r="C55" s="2">
        <v>0</v>
      </c>
      <c r="D55" s="2">
        <v>0</v>
      </c>
      <c r="E55" s="2" t="s">
        <v>14</v>
      </c>
      <c r="G55" s="2">
        <v>70</v>
      </c>
      <c r="H55" s="2" t="s">
        <v>15</v>
      </c>
      <c r="J55" s="2" t="s">
        <v>88</v>
      </c>
      <c r="K55" s="2" t="s">
        <v>16</v>
      </c>
      <c r="L55" s="2">
        <v>1.6</v>
      </c>
      <c r="M55" s="2">
        <v>30</v>
      </c>
      <c r="N55" s="2">
        <v>0.29799999999999999</v>
      </c>
      <c r="O55" s="109">
        <v>5.5874999999999995</v>
      </c>
      <c r="P55" s="2">
        <v>4.9169999999999998</v>
      </c>
      <c r="Q55" s="2" t="s">
        <v>17</v>
      </c>
      <c r="R55" s="2" t="s">
        <v>68</v>
      </c>
      <c r="S55" s="2">
        <v>0.53086299999999997</v>
      </c>
      <c r="T55" s="2">
        <v>7.8120000000000004E-3</v>
      </c>
      <c r="U55" s="2">
        <v>99.52</v>
      </c>
      <c r="V55" s="2">
        <v>35005466</v>
      </c>
    </row>
    <row r="56" spans="1:22" x14ac:dyDescent="0.25">
      <c r="A56" s="2" t="s">
        <v>72</v>
      </c>
      <c r="B56" s="2" t="s">
        <v>72</v>
      </c>
      <c r="C56" s="2" t="e">
        <v>#N/A</v>
      </c>
      <c r="D56" s="2" t="e">
        <v>#N/A</v>
      </c>
      <c r="E56" s="2" t="s">
        <v>463</v>
      </c>
      <c r="G56" s="2">
        <v>53</v>
      </c>
      <c r="H56" s="2" t="s">
        <v>15</v>
      </c>
      <c r="J56" s="2" t="s">
        <v>88</v>
      </c>
      <c r="K56" s="2" t="s">
        <v>16</v>
      </c>
      <c r="L56" s="2">
        <v>1.7</v>
      </c>
      <c r="M56" s="2">
        <v>30</v>
      </c>
      <c r="N56" s="2">
        <v>0.77600000000000002</v>
      </c>
      <c r="O56" s="109">
        <v>13.694117647058825</v>
      </c>
      <c r="P56" s="2">
        <v>4.6560000000000006</v>
      </c>
      <c r="Q56" s="2" t="s">
        <v>17</v>
      </c>
      <c r="R56" s="2" t="s">
        <v>68</v>
      </c>
      <c r="S56" s="2">
        <v>0.50379399999999996</v>
      </c>
      <c r="T56" s="2">
        <v>7.1029999999999999E-3</v>
      </c>
      <c r="U56" s="2">
        <v>99.56</v>
      </c>
      <c r="V56" s="2">
        <v>33417148</v>
      </c>
    </row>
    <row r="57" spans="1:22" x14ac:dyDescent="0.25">
      <c r="A57" s="2" t="s">
        <v>73</v>
      </c>
      <c r="B57" s="2" t="s">
        <v>73</v>
      </c>
      <c r="C57" s="2">
        <v>0</v>
      </c>
      <c r="D57" s="2">
        <v>0</v>
      </c>
      <c r="E57" s="2" t="s">
        <v>14</v>
      </c>
      <c r="G57" s="2">
        <v>63</v>
      </c>
      <c r="H57" s="2" t="s">
        <v>20</v>
      </c>
      <c r="J57" s="2" t="s">
        <v>88</v>
      </c>
      <c r="K57" s="2" t="s">
        <v>16</v>
      </c>
      <c r="L57" s="2">
        <v>1.7</v>
      </c>
      <c r="M57" s="2">
        <v>30</v>
      </c>
      <c r="N57" s="2">
        <v>0.77800000000000002</v>
      </c>
      <c r="O57" s="109">
        <v>13.729411764705883</v>
      </c>
      <c r="P57" s="2">
        <v>4.6680000000000001</v>
      </c>
      <c r="Q57" s="2" t="s">
        <v>17</v>
      </c>
      <c r="R57" s="2" t="s">
        <v>68</v>
      </c>
      <c r="S57" s="2">
        <v>0.56822899999999998</v>
      </c>
      <c r="T57" s="2">
        <v>6.6449999999999999E-3</v>
      </c>
      <c r="U57" s="2">
        <v>99.62</v>
      </c>
      <c r="V57" s="2">
        <v>37235308</v>
      </c>
    </row>
    <row r="58" spans="1:22" x14ac:dyDescent="0.25">
      <c r="A58" s="2" t="s">
        <v>74</v>
      </c>
      <c r="B58" s="2" t="s">
        <v>74</v>
      </c>
      <c r="C58" s="2">
        <v>0</v>
      </c>
      <c r="D58" s="2">
        <v>0</v>
      </c>
      <c r="E58" s="2" t="s">
        <v>14</v>
      </c>
      <c r="G58" s="2">
        <v>80</v>
      </c>
      <c r="H58" s="2" t="s">
        <v>20</v>
      </c>
      <c r="J58" s="2" t="s">
        <v>88</v>
      </c>
      <c r="K58" s="2" t="s">
        <v>16</v>
      </c>
      <c r="L58" s="2">
        <v>1.6</v>
      </c>
      <c r="M58" s="2">
        <v>30</v>
      </c>
      <c r="N58" s="2">
        <v>0.72899999999999998</v>
      </c>
      <c r="O58" s="109">
        <v>13.668749999999999</v>
      </c>
      <c r="P58" s="2">
        <v>4.7385000000000002</v>
      </c>
      <c r="Q58" s="2" t="s">
        <v>17</v>
      </c>
      <c r="R58" s="2" t="s">
        <v>68</v>
      </c>
      <c r="S58" s="2">
        <v>0.58988399999999996</v>
      </c>
      <c r="T58" s="2">
        <v>6.7860000000000004E-3</v>
      </c>
      <c r="U58" s="2">
        <v>99.57</v>
      </c>
      <c r="V58" s="2">
        <v>38914740</v>
      </c>
    </row>
    <row r="59" spans="1:22" x14ac:dyDescent="0.25">
      <c r="A59" s="2" t="s">
        <v>75</v>
      </c>
      <c r="B59" s="2" t="s">
        <v>75</v>
      </c>
      <c r="C59" s="2">
        <v>0</v>
      </c>
      <c r="D59" s="2">
        <v>0</v>
      </c>
      <c r="E59" s="2" t="s">
        <v>14</v>
      </c>
      <c r="G59" s="2">
        <v>52</v>
      </c>
      <c r="H59" s="2" t="s">
        <v>20</v>
      </c>
      <c r="J59" s="2" t="s">
        <v>88</v>
      </c>
      <c r="K59" s="2" t="s">
        <v>16</v>
      </c>
      <c r="L59" s="2">
        <v>1.6</v>
      </c>
      <c r="M59" s="2">
        <v>30</v>
      </c>
      <c r="N59" s="2">
        <v>0.25</v>
      </c>
      <c r="O59" s="109">
        <v>4.6875</v>
      </c>
      <c r="P59" s="2">
        <v>4.5</v>
      </c>
      <c r="Q59" s="2" t="s">
        <v>17</v>
      </c>
      <c r="R59" s="2" t="s">
        <v>68</v>
      </c>
      <c r="S59" s="2">
        <v>0.58852499999999996</v>
      </c>
      <c r="T59" s="2">
        <v>7.7299999999999999E-3</v>
      </c>
      <c r="U59" s="2">
        <v>99.43</v>
      </c>
      <c r="V59" s="2">
        <v>38643675</v>
      </c>
    </row>
    <row r="60" spans="1:22" x14ac:dyDescent="0.25">
      <c r="A60" s="2" t="s">
        <v>76</v>
      </c>
      <c r="B60" s="2" t="s">
        <v>76</v>
      </c>
      <c r="C60" s="2">
        <v>0</v>
      </c>
      <c r="D60" s="2">
        <v>0</v>
      </c>
      <c r="E60" s="2" t="s">
        <v>14</v>
      </c>
      <c r="G60" s="2">
        <v>44</v>
      </c>
      <c r="H60" s="2" t="s">
        <v>15</v>
      </c>
      <c r="J60" s="2" t="s">
        <v>88</v>
      </c>
      <c r="K60" s="2" t="s">
        <v>16</v>
      </c>
      <c r="L60" s="2">
        <v>2</v>
      </c>
      <c r="M60" s="2">
        <v>30</v>
      </c>
      <c r="N60" s="2">
        <v>0.89200000000000002</v>
      </c>
      <c r="O60" s="109">
        <v>13.38</v>
      </c>
      <c r="P60" s="2">
        <v>5.3520000000000003</v>
      </c>
      <c r="Q60" s="2" t="s">
        <v>17</v>
      </c>
      <c r="R60" s="2" t="s">
        <v>68</v>
      </c>
      <c r="S60" s="2">
        <v>0.57974999999999999</v>
      </c>
      <c r="T60" s="2">
        <v>7.5799999999999999E-3</v>
      </c>
      <c r="U60" s="2">
        <v>99.57</v>
      </c>
      <c r="V60" s="2">
        <v>38037766</v>
      </c>
    </row>
    <row r="61" spans="1:22" x14ac:dyDescent="0.25">
      <c r="A61" s="2" t="s">
        <v>77</v>
      </c>
      <c r="B61" s="2" t="s">
        <v>77</v>
      </c>
      <c r="C61" s="2" t="e">
        <v>#N/A</v>
      </c>
      <c r="D61" s="2" t="e">
        <v>#N/A</v>
      </c>
      <c r="E61" s="2" t="s">
        <v>78</v>
      </c>
      <c r="G61" s="2">
        <v>48</v>
      </c>
      <c r="H61" s="2" t="s">
        <v>15</v>
      </c>
      <c r="J61" s="2" t="s">
        <v>88</v>
      </c>
      <c r="K61" s="2" t="s">
        <v>16</v>
      </c>
      <c r="L61" s="2">
        <v>2</v>
      </c>
      <c r="M61" s="2">
        <v>30</v>
      </c>
      <c r="N61" s="2">
        <v>0.57699999999999996</v>
      </c>
      <c r="O61" s="109">
        <v>8.6549999999999994</v>
      </c>
      <c r="P61" s="2">
        <v>4.9044999999999996</v>
      </c>
      <c r="Q61" s="2" t="s">
        <v>17</v>
      </c>
      <c r="R61" s="2" t="s">
        <v>68</v>
      </c>
      <c r="S61" s="2">
        <v>0.47512100000000002</v>
      </c>
      <c r="T61" s="2">
        <v>7.2240000000000004E-3</v>
      </c>
      <c r="U61" s="2">
        <v>99.43</v>
      </c>
      <c r="V61" s="2">
        <v>31466951</v>
      </c>
    </row>
    <row r="62" spans="1:22" x14ac:dyDescent="0.25">
      <c r="A62" s="2" t="s">
        <v>79</v>
      </c>
      <c r="B62" s="2" t="s">
        <v>79</v>
      </c>
      <c r="C62" s="2">
        <v>0</v>
      </c>
      <c r="D62" s="2">
        <v>0</v>
      </c>
      <c r="E62" s="2" t="s">
        <v>14</v>
      </c>
      <c r="G62" s="2">
        <v>71</v>
      </c>
      <c r="H62" s="2" t="s">
        <v>15</v>
      </c>
      <c r="J62" s="2" t="s">
        <v>88</v>
      </c>
      <c r="K62" s="2" t="s">
        <v>16</v>
      </c>
      <c r="L62" s="2">
        <v>1.8</v>
      </c>
      <c r="M62" s="2">
        <v>30</v>
      </c>
      <c r="N62" s="2">
        <v>0.24399999999999999</v>
      </c>
      <c r="O62" s="109">
        <v>4.0666666666666664</v>
      </c>
      <c r="P62" s="2">
        <v>4.3919999999999995</v>
      </c>
      <c r="Q62" s="2" t="s">
        <v>17</v>
      </c>
      <c r="R62" s="2" t="s">
        <v>68</v>
      </c>
      <c r="S62" s="2">
        <v>0.56174299999999999</v>
      </c>
      <c r="T62" s="2">
        <v>8.9119999999999998E-3</v>
      </c>
      <c r="U62" s="2">
        <v>99.35</v>
      </c>
      <c r="V62" s="2">
        <v>37278984</v>
      </c>
    </row>
    <row r="63" spans="1:22" x14ac:dyDescent="0.25">
      <c r="A63" s="2" t="s">
        <v>80</v>
      </c>
      <c r="B63" s="2" t="s">
        <v>80</v>
      </c>
      <c r="C63" s="2">
        <v>0</v>
      </c>
      <c r="D63" s="2">
        <v>0</v>
      </c>
      <c r="E63" s="2" t="s">
        <v>14</v>
      </c>
      <c r="G63" s="2">
        <v>55</v>
      </c>
      <c r="H63" s="2" t="s">
        <v>15</v>
      </c>
      <c r="J63" s="2" t="s">
        <v>88</v>
      </c>
      <c r="K63" s="2" t="s">
        <v>16</v>
      </c>
      <c r="L63" s="2">
        <v>1.5</v>
      </c>
      <c r="M63" s="2">
        <v>30</v>
      </c>
      <c r="N63" s="2">
        <v>0.85499999999999998</v>
      </c>
      <c r="O63" s="109">
        <v>17.099999999999998</v>
      </c>
      <c r="P63" s="2">
        <v>5.13</v>
      </c>
      <c r="Q63" s="2" t="s">
        <v>17</v>
      </c>
      <c r="R63" s="2" t="s">
        <v>68</v>
      </c>
      <c r="S63" s="2">
        <v>0.58506499999999995</v>
      </c>
      <c r="T63" s="2">
        <v>8.5280000000000009E-3</v>
      </c>
      <c r="U63" s="2">
        <v>99.54</v>
      </c>
      <c r="V63" s="2">
        <v>38617227</v>
      </c>
    </row>
    <row r="64" spans="1:22" x14ac:dyDescent="0.25">
      <c r="A64" s="2" t="s">
        <v>81</v>
      </c>
      <c r="B64" s="2" t="s">
        <v>81</v>
      </c>
      <c r="C64" s="2">
        <v>0</v>
      </c>
      <c r="D64" s="2">
        <v>0</v>
      </c>
      <c r="E64" s="2" t="s">
        <v>14</v>
      </c>
      <c r="G64" s="2">
        <v>61</v>
      </c>
      <c r="H64" s="2" t="s">
        <v>15</v>
      </c>
      <c r="J64" s="2" t="s">
        <v>88</v>
      </c>
      <c r="K64" s="2" t="s">
        <v>16</v>
      </c>
      <c r="L64" s="2">
        <v>2</v>
      </c>
      <c r="M64" s="2">
        <v>30</v>
      </c>
      <c r="N64" s="2">
        <v>0.67</v>
      </c>
      <c r="O64" s="109">
        <v>10.050000000000001</v>
      </c>
      <c r="P64" s="2">
        <v>4.6900000000000004</v>
      </c>
      <c r="Q64" s="2" t="s">
        <v>17</v>
      </c>
      <c r="R64" s="2" t="s">
        <v>68</v>
      </c>
      <c r="S64" s="2">
        <v>0.47345799999999999</v>
      </c>
      <c r="T64" s="2">
        <v>6.783E-3</v>
      </c>
      <c r="U64" s="2">
        <v>99.46</v>
      </c>
      <c r="V64" s="2">
        <v>31197799</v>
      </c>
    </row>
    <row r="65" spans="1:22" x14ac:dyDescent="0.25">
      <c r="A65" s="2" t="s">
        <v>82</v>
      </c>
      <c r="B65" s="2" t="s">
        <v>82</v>
      </c>
      <c r="C65" s="2">
        <v>0</v>
      </c>
      <c r="D65" s="2">
        <v>0</v>
      </c>
      <c r="E65" s="2" t="s">
        <v>14</v>
      </c>
      <c r="G65" s="2">
        <v>64</v>
      </c>
      <c r="H65" s="2" t="s">
        <v>20</v>
      </c>
      <c r="J65" s="2" t="s">
        <v>88</v>
      </c>
      <c r="K65" s="2" t="s">
        <v>16</v>
      </c>
      <c r="L65" s="2">
        <v>1.6</v>
      </c>
      <c r="M65" s="2">
        <v>30</v>
      </c>
      <c r="N65" s="2">
        <v>0.495</v>
      </c>
      <c r="O65" s="109">
        <v>9.28125</v>
      </c>
      <c r="P65" s="2">
        <v>4.95</v>
      </c>
      <c r="Q65" s="2" t="s">
        <v>17</v>
      </c>
      <c r="R65" s="2" t="s">
        <v>68</v>
      </c>
      <c r="S65" s="2">
        <v>0.49480400000000002</v>
      </c>
      <c r="T65" s="2">
        <v>6.4419999999999998E-3</v>
      </c>
      <c r="U65" s="2">
        <v>99.55</v>
      </c>
      <c r="V65" s="2">
        <v>32397904</v>
      </c>
    </row>
    <row r="66" spans="1:22" x14ac:dyDescent="0.25">
      <c r="A66" s="2" t="s">
        <v>83</v>
      </c>
      <c r="B66" s="2" t="s">
        <v>83</v>
      </c>
      <c r="C66" s="2">
        <v>0</v>
      </c>
      <c r="D66" s="2">
        <v>0</v>
      </c>
      <c r="E66" s="2" t="s">
        <v>14</v>
      </c>
      <c r="G66" s="2">
        <v>64</v>
      </c>
      <c r="H66" s="2" t="s">
        <v>15</v>
      </c>
      <c r="J66" s="2" t="s">
        <v>88</v>
      </c>
      <c r="K66" s="2" t="s">
        <v>16</v>
      </c>
      <c r="L66" s="2">
        <v>1.8</v>
      </c>
      <c r="M66" s="2">
        <v>30</v>
      </c>
      <c r="N66" s="2">
        <v>0.44600000000000001</v>
      </c>
      <c r="O66" s="109">
        <v>7.4333333333333336</v>
      </c>
      <c r="P66" s="2">
        <v>4.9059999999999997</v>
      </c>
      <c r="Q66" s="2" t="s">
        <v>17</v>
      </c>
      <c r="R66" s="2" t="s">
        <v>68</v>
      </c>
      <c r="S66" s="2">
        <v>0.51342299999999996</v>
      </c>
      <c r="T66" s="2">
        <v>7.273E-3</v>
      </c>
      <c r="U66" s="2">
        <v>99.43</v>
      </c>
      <c r="V66" s="2">
        <v>34039676</v>
      </c>
    </row>
    <row r="67" spans="1:22" x14ac:dyDescent="0.25">
      <c r="A67" s="2" t="s">
        <v>84</v>
      </c>
      <c r="B67" s="2" t="s">
        <v>84</v>
      </c>
      <c r="C67" s="2">
        <v>0</v>
      </c>
      <c r="D67" s="2">
        <v>0</v>
      </c>
      <c r="E67" s="2" t="s">
        <v>14</v>
      </c>
      <c r="G67" s="2">
        <v>57</v>
      </c>
      <c r="H67" s="2" t="s">
        <v>20</v>
      </c>
      <c r="J67" s="2" t="s">
        <v>88</v>
      </c>
      <c r="K67" s="2" t="s">
        <v>16</v>
      </c>
      <c r="L67" s="2">
        <v>2</v>
      </c>
      <c r="M67" s="2">
        <v>30</v>
      </c>
      <c r="N67" s="2">
        <v>0.36</v>
      </c>
      <c r="O67" s="109">
        <v>5.3999999999999995</v>
      </c>
      <c r="P67" s="2">
        <v>4.8599999999999994</v>
      </c>
      <c r="Q67" s="2" t="s">
        <v>17</v>
      </c>
      <c r="R67" s="2" t="s">
        <v>68</v>
      </c>
      <c r="S67" s="2">
        <v>0.54802600000000001</v>
      </c>
      <c r="T67" s="2">
        <v>7.1170000000000001E-3</v>
      </c>
      <c r="U67" s="2">
        <v>99.5</v>
      </c>
      <c r="V67" s="2">
        <v>35995351</v>
      </c>
    </row>
    <row r="68" spans="1:22" x14ac:dyDescent="0.25">
      <c r="A68" s="2" t="s">
        <v>191</v>
      </c>
      <c r="B68" s="2" t="s">
        <v>191</v>
      </c>
      <c r="C68" s="2">
        <v>0</v>
      </c>
      <c r="D68" s="2">
        <v>0</v>
      </c>
      <c r="E68" s="2" t="s">
        <v>14</v>
      </c>
      <c r="G68" s="2">
        <v>60</v>
      </c>
      <c r="H68" s="2" t="s">
        <v>15</v>
      </c>
      <c r="J68" s="2" t="s">
        <v>88</v>
      </c>
      <c r="K68" s="2" t="s">
        <v>16</v>
      </c>
      <c r="L68" s="2">
        <v>2</v>
      </c>
      <c r="M68" s="2">
        <v>30</v>
      </c>
      <c r="N68" s="2">
        <v>0.32500000000000001</v>
      </c>
      <c r="O68" s="109">
        <v>4.875</v>
      </c>
      <c r="P68" s="2">
        <v>4.875</v>
      </c>
      <c r="Q68" s="2" t="s">
        <v>17</v>
      </c>
      <c r="R68" s="2" t="s">
        <v>204</v>
      </c>
      <c r="S68" s="2">
        <v>0.43160799999999999</v>
      </c>
      <c r="T68" s="2">
        <v>6.692E-3</v>
      </c>
      <c r="U68" s="2">
        <v>99.58</v>
      </c>
      <c r="V68" s="2">
        <v>28264911</v>
      </c>
    </row>
    <row r="69" spans="1:22" x14ac:dyDescent="0.25">
      <c r="A69" s="2" t="s">
        <v>192</v>
      </c>
      <c r="B69" s="2" t="s">
        <v>192</v>
      </c>
      <c r="C69" s="2">
        <v>0</v>
      </c>
      <c r="D69" s="2">
        <v>0</v>
      </c>
      <c r="E69" s="2" t="s">
        <v>14</v>
      </c>
      <c r="G69" s="2">
        <v>51</v>
      </c>
      <c r="H69" s="2" t="s">
        <v>15</v>
      </c>
      <c r="J69" s="2" t="s">
        <v>88</v>
      </c>
      <c r="K69" s="2" t="s">
        <v>16</v>
      </c>
      <c r="L69" s="2">
        <v>2</v>
      </c>
      <c r="M69" s="2">
        <v>30</v>
      </c>
      <c r="N69" s="2">
        <v>1</v>
      </c>
      <c r="O69" s="109">
        <v>15</v>
      </c>
      <c r="P69" s="2">
        <v>5</v>
      </c>
      <c r="Q69" s="2" t="s">
        <v>17</v>
      </c>
      <c r="R69" s="2" t="s">
        <v>204</v>
      </c>
      <c r="S69" s="2">
        <v>0.55157800000000001</v>
      </c>
      <c r="T69" s="2">
        <v>6.1960000000000001E-3</v>
      </c>
      <c r="U69" s="2">
        <v>99.58</v>
      </c>
      <c r="V69" s="2">
        <v>36134422</v>
      </c>
    </row>
    <row r="70" spans="1:22" x14ac:dyDescent="0.25">
      <c r="A70" s="2" t="s">
        <v>193</v>
      </c>
      <c r="B70" s="2" t="s">
        <v>193</v>
      </c>
      <c r="C70" s="2">
        <v>0</v>
      </c>
      <c r="D70" s="2">
        <v>0</v>
      </c>
      <c r="E70" s="2" t="s">
        <v>14</v>
      </c>
      <c r="G70" s="2">
        <v>64</v>
      </c>
      <c r="H70" s="2" t="s">
        <v>15</v>
      </c>
      <c r="J70" s="2" t="s">
        <v>88</v>
      </c>
      <c r="K70" s="2" t="s">
        <v>16</v>
      </c>
      <c r="L70" s="2">
        <v>1.5</v>
      </c>
      <c r="M70" s="2">
        <v>30</v>
      </c>
      <c r="N70" s="2">
        <v>0.33</v>
      </c>
      <c r="O70" s="109">
        <v>6.6000000000000005</v>
      </c>
      <c r="P70" s="2">
        <v>4.95</v>
      </c>
      <c r="Q70" s="2" t="s">
        <v>17</v>
      </c>
      <c r="R70" s="2" t="s">
        <v>204</v>
      </c>
      <c r="S70" s="2">
        <v>0.55489900000000003</v>
      </c>
      <c r="T70" s="2">
        <v>6.633E-3</v>
      </c>
      <c r="U70" s="2">
        <v>99.53</v>
      </c>
      <c r="V70" s="2">
        <v>36461142</v>
      </c>
    </row>
    <row r="71" spans="1:22" x14ac:dyDescent="0.25">
      <c r="A71" s="2" t="s">
        <v>194</v>
      </c>
      <c r="B71" s="2" t="s">
        <v>194</v>
      </c>
      <c r="C71" s="2">
        <v>0</v>
      </c>
      <c r="D71" s="2">
        <v>0</v>
      </c>
      <c r="E71" s="2" t="s">
        <v>14</v>
      </c>
      <c r="G71" s="2">
        <v>68</v>
      </c>
      <c r="H71" s="2" t="s">
        <v>20</v>
      </c>
      <c r="J71" s="2" t="s">
        <v>88</v>
      </c>
      <c r="K71" s="2" t="s">
        <v>16</v>
      </c>
      <c r="L71" s="2">
        <v>1.9</v>
      </c>
      <c r="M71" s="2">
        <v>30</v>
      </c>
      <c r="N71" s="2">
        <v>0.55600000000000005</v>
      </c>
      <c r="O71" s="109">
        <v>8.7789473684210524</v>
      </c>
      <c r="P71" s="2">
        <v>4.7260000000000009</v>
      </c>
      <c r="Q71" s="2" t="s">
        <v>17</v>
      </c>
      <c r="R71" s="2" t="s">
        <v>204</v>
      </c>
      <c r="S71" s="2">
        <v>0.52495800000000004</v>
      </c>
      <c r="T71" s="2">
        <v>7.1040000000000001E-3</v>
      </c>
      <c r="U71" s="2">
        <v>99.61</v>
      </c>
      <c r="V71" s="2">
        <v>34420468</v>
      </c>
    </row>
    <row r="72" spans="1:22" x14ac:dyDescent="0.25">
      <c r="A72" s="2" t="s">
        <v>214</v>
      </c>
      <c r="B72" s="2" t="s">
        <v>214</v>
      </c>
      <c r="C72" s="2">
        <v>0</v>
      </c>
      <c r="D72" s="2">
        <v>0</v>
      </c>
      <c r="E72" s="2" t="s">
        <v>14</v>
      </c>
      <c r="G72" s="2">
        <v>65</v>
      </c>
      <c r="H72" s="2" t="s">
        <v>15</v>
      </c>
      <c r="J72" s="2" t="s">
        <v>88</v>
      </c>
      <c r="K72" s="2" t="s">
        <v>16</v>
      </c>
      <c r="L72" s="2">
        <v>1.5</v>
      </c>
      <c r="M72" s="2">
        <v>30</v>
      </c>
      <c r="N72" s="2">
        <v>0.28599999999999998</v>
      </c>
      <c r="O72" s="109">
        <v>5.72</v>
      </c>
      <c r="P72" s="2">
        <v>4.8619999999999992</v>
      </c>
      <c r="Q72" s="2" t="s">
        <v>17</v>
      </c>
      <c r="R72" s="2" t="s">
        <v>464</v>
      </c>
      <c r="S72" s="2">
        <v>0.48122100000000001</v>
      </c>
      <c r="T72" s="2">
        <v>8.4110000000000001E-3</v>
      </c>
      <c r="U72" s="2">
        <v>99.55</v>
      </c>
      <c r="V72" s="2">
        <v>31547770</v>
      </c>
    </row>
    <row r="73" spans="1:22" x14ac:dyDescent="0.25">
      <c r="A73" s="2" t="s">
        <v>215</v>
      </c>
      <c r="B73" s="2" t="s">
        <v>215</v>
      </c>
      <c r="C73" s="2">
        <v>0</v>
      </c>
      <c r="D73" s="2">
        <v>0</v>
      </c>
      <c r="E73" s="2" t="s">
        <v>14</v>
      </c>
      <c r="G73" s="2">
        <v>72</v>
      </c>
      <c r="H73" s="2" t="s">
        <v>20</v>
      </c>
      <c r="J73" s="2" t="s">
        <v>88</v>
      </c>
      <c r="K73" s="2" t="s">
        <v>16</v>
      </c>
      <c r="L73" s="2">
        <v>1.8</v>
      </c>
      <c r="M73" s="2">
        <v>30</v>
      </c>
      <c r="N73" s="2">
        <v>3.05</v>
      </c>
      <c r="O73" s="109">
        <v>50.833333333333329</v>
      </c>
      <c r="P73" s="2">
        <v>5.0137999999999998</v>
      </c>
      <c r="Q73" s="2" t="s">
        <v>17</v>
      </c>
      <c r="R73" s="2" t="s">
        <v>464</v>
      </c>
      <c r="S73" s="2">
        <v>0.354049</v>
      </c>
      <c r="T73" s="2">
        <v>9.0489999999999998E-3</v>
      </c>
      <c r="U73" s="2">
        <v>99.61</v>
      </c>
      <c r="V73" s="2">
        <v>23190540</v>
      </c>
    </row>
    <row r="74" spans="1:22" x14ac:dyDescent="0.25">
      <c r="A74" s="2" t="s">
        <v>216</v>
      </c>
      <c r="B74" s="2" t="s">
        <v>216</v>
      </c>
      <c r="C74" s="2">
        <v>0</v>
      </c>
      <c r="D74" s="2">
        <v>0</v>
      </c>
      <c r="E74" s="2" t="s">
        <v>14</v>
      </c>
      <c r="G74" s="2">
        <v>71</v>
      </c>
      <c r="H74" s="2" t="s">
        <v>20</v>
      </c>
      <c r="J74" s="2" t="s">
        <v>88</v>
      </c>
      <c r="K74" s="2" t="s">
        <v>16</v>
      </c>
      <c r="L74" s="2">
        <v>2</v>
      </c>
      <c r="M74" s="2">
        <v>30</v>
      </c>
      <c r="N74" s="2">
        <v>0.873</v>
      </c>
      <c r="O74" s="109">
        <v>13.095000000000001</v>
      </c>
      <c r="P74" s="2">
        <v>4.8014999999999999</v>
      </c>
      <c r="Q74" s="2" t="s">
        <v>17</v>
      </c>
      <c r="R74" s="2" t="s">
        <v>464</v>
      </c>
      <c r="S74" s="2">
        <v>0.52620699999999998</v>
      </c>
      <c r="T74" s="2">
        <v>7.2789999999999999E-3</v>
      </c>
      <c r="U74" s="2">
        <v>99.64</v>
      </c>
      <c r="V74" s="2">
        <v>34352600</v>
      </c>
    </row>
    <row r="75" spans="1:22" x14ac:dyDescent="0.25">
      <c r="A75" s="2" t="s">
        <v>217</v>
      </c>
      <c r="B75" s="2" t="s">
        <v>217</v>
      </c>
      <c r="C75" s="2">
        <v>0</v>
      </c>
      <c r="D75" s="2">
        <v>0</v>
      </c>
      <c r="E75" s="2" t="s">
        <v>14</v>
      </c>
      <c r="G75" s="2">
        <v>78</v>
      </c>
      <c r="H75" s="2" t="s">
        <v>20</v>
      </c>
      <c r="J75" s="2" t="s">
        <v>88</v>
      </c>
      <c r="K75" s="2" t="s">
        <v>16</v>
      </c>
      <c r="L75" s="2">
        <v>1.7</v>
      </c>
      <c r="M75" s="2">
        <v>30</v>
      </c>
      <c r="N75" s="2">
        <v>0.46400000000000002</v>
      </c>
      <c r="O75" s="109">
        <v>8.1882352941176464</v>
      </c>
      <c r="P75" s="2">
        <v>4.8719999999999999</v>
      </c>
      <c r="Q75" s="2" t="s">
        <v>17</v>
      </c>
      <c r="R75" s="2" t="s">
        <v>465</v>
      </c>
      <c r="S75" s="2">
        <v>0.49591099999999999</v>
      </c>
      <c r="T75" s="2">
        <v>7.1190000000000003E-3</v>
      </c>
      <c r="U75" s="2">
        <v>99.62</v>
      </c>
      <c r="V75" s="2">
        <v>32503388</v>
      </c>
    </row>
    <row r="76" spans="1:22" x14ac:dyDescent="0.25">
      <c r="A76" s="2" t="s">
        <v>218</v>
      </c>
      <c r="B76" s="2" t="s">
        <v>218</v>
      </c>
      <c r="C76" s="2">
        <v>0</v>
      </c>
      <c r="D76" s="2">
        <v>0</v>
      </c>
      <c r="E76" s="2" t="s">
        <v>14</v>
      </c>
      <c r="G76" s="2">
        <v>85</v>
      </c>
      <c r="H76" s="2" t="s">
        <v>15</v>
      </c>
      <c r="J76" s="2" t="s">
        <v>88</v>
      </c>
      <c r="K76" s="2" t="s">
        <v>16</v>
      </c>
      <c r="L76" s="2">
        <v>2</v>
      </c>
      <c r="M76" s="2">
        <v>30</v>
      </c>
      <c r="N76" s="2">
        <v>0.58699999999999997</v>
      </c>
      <c r="O76" s="109">
        <v>8.8049999999999997</v>
      </c>
      <c r="P76" s="2">
        <v>4.9894999999999996</v>
      </c>
      <c r="Q76" s="2" t="s">
        <v>17</v>
      </c>
      <c r="R76" s="2" t="s">
        <v>465</v>
      </c>
      <c r="S76" s="2">
        <v>0.49082999999999999</v>
      </c>
      <c r="T76" s="2">
        <v>8.4119999999999993E-3</v>
      </c>
      <c r="U76" s="2">
        <v>99.56</v>
      </c>
      <c r="V76" s="2">
        <v>32335850</v>
      </c>
    </row>
    <row r="77" spans="1:22" x14ac:dyDescent="0.25">
      <c r="A77" s="2" t="s">
        <v>85</v>
      </c>
      <c r="B77" s="2" t="s">
        <v>85</v>
      </c>
      <c r="C77" s="2">
        <v>1</v>
      </c>
      <c r="D77" s="2">
        <v>401</v>
      </c>
      <c r="E77" s="2" t="s">
        <v>86</v>
      </c>
      <c r="F77" s="2" t="s">
        <v>87</v>
      </c>
      <c r="G77" s="2">
        <v>71</v>
      </c>
      <c r="H77" s="2" t="s">
        <v>15</v>
      </c>
      <c r="I77" s="2" t="s">
        <v>88</v>
      </c>
      <c r="J77" s="2" t="s">
        <v>88</v>
      </c>
      <c r="K77" s="2" t="s">
        <v>16</v>
      </c>
      <c r="L77" s="2">
        <v>1</v>
      </c>
      <c r="M77" s="2">
        <v>30</v>
      </c>
      <c r="N77" s="2">
        <v>0.192</v>
      </c>
      <c r="O77" s="109">
        <v>5.76</v>
      </c>
      <c r="P77" s="2">
        <v>3.456</v>
      </c>
      <c r="Q77" s="2" t="s">
        <v>17</v>
      </c>
      <c r="R77" s="2" t="s">
        <v>89</v>
      </c>
      <c r="S77" s="2">
        <v>0.60978500000000002</v>
      </c>
      <c r="T77" s="2">
        <v>6.9690000000000004E-3</v>
      </c>
      <c r="U77" s="2">
        <v>100</v>
      </c>
      <c r="V77" s="2">
        <v>39169994</v>
      </c>
    </row>
    <row r="78" spans="1:22" x14ac:dyDescent="0.25">
      <c r="A78" s="2" t="s">
        <v>91</v>
      </c>
      <c r="B78" s="2" t="s">
        <v>91</v>
      </c>
      <c r="C78" s="2">
        <v>1</v>
      </c>
      <c r="D78" s="2">
        <v>4</v>
      </c>
      <c r="E78" s="2" t="s">
        <v>90</v>
      </c>
      <c r="F78" s="2" t="s">
        <v>206</v>
      </c>
      <c r="G78" s="2">
        <v>66</v>
      </c>
      <c r="H78" s="2" t="s">
        <v>20</v>
      </c>
      <c r="I78" s="2" t="s">
        <v>92</v>
      </c>
      <c r="J78" s="2" t="s">
        <v>92</v>
      </c>
      <c r="K78" s="2" t="s">
        <v>16</v>
      </c>
      <c r="L78" s="2">
        <v>1</v>
      </c>
      <c r="M78" s="2">
        <v>30</v>
      </c>
      <c r="N78" s="2">
        <v>0.53100000000000003</v>
      </c>
      <c r="O78" s="109">
        <v>15.930000000000001</v>
      </c>
      <c r="P78" s="2">
        <v>5.3100000000000005</v>
      </c>
      <c r="Q78" s="2" t="s">
        <v>17</v>
      </c>
      <c r="R78" s="2" t="s">
        <v>93</v>
      </c>
      <c r="S78" s="2" t="e">
        <v>#N/A</v>
      </c>
      <c r="T78" s="2" t="e">
        <v>#N/A</v>
      </c>
      <c r="U78" s="2" t="e">
        <v>#N/A</v>
      </c>
      <c r="V78" s="2" t="e">
        <v>#N/A</v>
      </c>
    </row>
    <row r="79" spans="1:22" x14ac:dyDescent="0.25">
      <c r="A79" s="2" t="s">
        <v>94</v>
      </c>
      <c r="B79" s="2" t="s">
        <v>94</v>
      </c>
      <c r="C79" s="2">
        <v>1</v>
      </c>
      <c r="D79" s="2">
        <v>4</v>
      </c>
      <c r="E79" s="2" t="s">
        <v>90</v>
      </c>
      <c r="F79" s="2" t="s">
        <v>206</v>
      </c>
      <c r="G79" s="2">
        <v>72</v>
      </c>
      <c r="H79" s="2" t="s">
        <v>20</v>
      </c>
      <c r="I79" s="2" t="s">
        <v>95</v>
      </c>
      <c r="J79" s="2" t="s">
        <v>207</v>
      </c>
      <c r="K79" s="2" t="s">
        <v>16</v>
      </c>
      <c r="L79" s="2">
        <v>1</v>
      </c>
      <c r="M79" s="2">
        <v>30</v>
      </c>
      <c r="N79" s="2">
        <v>0.23899999999999999</v>
      </c>
      <c r="O79" s="109">
        <v>7.17</v>
      </c>
      <c r="P79" s="2">
        <v>4.3019999999999996</v>
      </c>
      <c r="Q79" s="2" t="s">
        <v>17</v>
      </c>
      <c r="R79" s="2" t="s">
        <v>89</v>
      </c>
      <c r="S79" s="2">
        <v>0.45857999999999999</v>
      </c>
      <c r="T79" s="2">
        <v>5.5789999999999998E-3</v>
      </c>
      <c r="U79" s="2">
        <v>100</v>
      </c>
      <c r="V79" s="2">
        <v>29261854</v>
      </c>
    </row>
    <row r="80" spans="1:22" x14ac:dyDescent="0.25">
      <c r="A80" s="2" t="s">
        <v>96</v>
      </c>
      <c r="B80" s="2" t="s">
        <v>96</v>
      </c>
      <c r="C80" s="2">
        <v>1</v>
      </c>
      <c r="D80" s="2">
        <v>4</v>
      </c>
      <c r="E80" s="2" t="s">
        <v>90</v>
      </c>
      <c r="F80" s="2" t="s">
        <v>206</v>
      </c>
      <c r="G80" s="2">
        <v>69</v>
      </c>
      <c r="H80" s="2" t="s">
        <v>20</v>
      </c>
      <c r="I80" s="2" t="s">
        <v>97</v>
      </c>
      <c r="J80" s="2" t="s">
        <v>208</v>
      </c>
      <c r="K80" s="2" t="s">
        <v>16</v>
      </c>
      <c r="L80" s="2">
        <v>1</v>
      </c>
      <c r="M80" s="2">
        <v>30</v>
      </c>
      <c r="N80" s="2">
        <v>0.33200000000000002</v>
      </c>
      <c r="O80" s="109">
        <v>9.9600000000000009</v>
      </c>
      <c r="P80" s="2">
        <v>5.976</v>
      </c>
      <c r="Q80" s="2" t="s">
        <v>17</v>
      </c>
      <c r="R80" s="2" t="s">
        <v>89</v>
      </c>
      <c r="S80" s="2">
        <v>0.54717899999999997</v>
      </c>
      <c r="T80" s="2">
        <v>6.0939999999999996E-3</v>
      </c>
      <c r="U80" s="2">
        <v>100</v>
      </c>
      <c r="V80" s="2">
        <v>34922084</v>
      </c>
    </row>
    <row r="81" spans="1:22" x14ac:dyDescent="0.25">
      <c r="A81" s="2" t="s">
        <v>98</v>
      </c>
      <c r="B81" s="2" t="s">
        <v>98</v>
      </c>
      <c r="C81" s="2">
        <v>1</v>
      </c>
      <c r="D81" s="2">
        <v>4</v>
      </c>
      <c r="E81" s="2" t="s">
        <v>90</v>
      </c>
      <c r="F81" s="2" t="s">
        <v>206</v>
      </c>
      <c r="G81" s="2">
        <v>48</v>
      </c>
      <c r="H81" s="2" t="s">
        <v>15</v>
      </c>
      <c r="I81" s="2" t="s">
        <v>99</v>
      </c>
      <c r="J81" s="2" t="s">
        <v>208</v>
      </c>
      <c r="K81" s="2" t="s">
        <v>16</v>
      </c>
      <c r="L81" s="2">
        <v>1</v>
      </c>
      <c r="M81" s="2">
        <v>30</v>
      </c>
      <c r="N81" s="2">
        <v>0.14499999999999999</v>
      </c>
      <c r="O81" s="109">
        <v>4.3499999999999996</v>
      </c>
      <c r="P81" s="2">
        <v>2.61</v>
      </c>
      <c r="Q81" s="2" t="s">
        <v>22</v>
      </c>
      <c r="R81" s="2" t="s">
        <v>89</v>
      </c>
      <c r="S81" s="2">
        <v>0.58634500000000001</v>
      </c>
      <c r="T81" s="2">
        <v>6.4009999999999996E-3</v>
      </c>
      <c r="U81" s="2">
        <v>100</v>
      </c>
      <c r="V81" s="2">
        <v>37660544</v>
      </c>
    </row>
    <row r="82" spans="1:22" x14ac:dyDescent="0.25">
      <c r="A82" s="2" t="s">
        <v>100</v>
      </c>
      <c r="B82" s="2" t="s">
        <v>100</v>
      </c>
      <c r="C82" s="2">
        <v>1</v>
      </c>
      <c r="D82" s="2">
        <v>4</v>
      </c>
      <c r="E82" s="2" t="s">
        <v>90</v>
      </c>
      <c r="F82" s="2" t="s">
        <v>206</v>
      </c>
      <c r="G82" s="2">
        <v>77</v>
      </c>
      <c r="H82" s="2" t="s">
        <v>20</v>
      </c>
      <c r="I82" s="2" t="s">
        <v>101</v>
      </c>
      <c r="J82" s="2" t="s">
        <v>101</v>
      </c>
      <c r="K82" s="2" t="s">
        <v>16</v>
      </c>
      <c r="L82" s="2">
        <v>1</v>
      </c>
      <c r="M82" s="2">
        <v>30</v>
      </c>
      <c r="N82" s="2">
        <v>0.13900000000000001</v>
      </c>
      <c r="O82" s="109">
        <v>4.17</v>
      </c>
      <c r="P82" s="2">
        <v>2.5020000000000002</v>
      </c>
      <c r="Q82" s="2" t="s">
        <v>22</v>
      </c>
      <c r="R82" s="2" t="s">
        <v>89</v>
      </c>
      <c r="S82" s="2">
        <v>0.54349899999999995</v>
      </c>
      <c r="T82" s="2">
        <v>6.9080000000000001E-3</v>
      </c>
      <c r="U82" s="2">
        <v>100</v>
      </c>
      <c r="V82" s="2">
        <v>34764692</v>
      </c>
    </row>
    <row r="83" spans="1:22" x14ac:dyDescent="0.25">
      <c r="A83" s="2" t="s">
        <v>102</v>
      </c>
      <c r="B83" s="2" t="s">
        <v>102</v>
      </c>
      <c r="C83" s="2">
        <v>1</v>
      </c>
      <c r="D83" s="2">
        <v>4</v>
      </c>
      <c r="E83" s="2" t="s">
        <v>90</v>
      </c>
      <c r="F83" s="2" t="s">
        <v>206</v>
      </c>
      <c r="G83" s="2">
        <v>55</v>
      </c>
      <c r="H83" s="2" t="s">
        <v>15</v>
      </c>
      <c r="I83" s="2" t="s">
        <v>95</v>
      </c>
      <c r="J83" s="2" t="s">
        <v>207</v>
      </c>
      <c r="K83" s="2" t="s">
        <v>16</v>
      </c>
      <c r="L83" s="2">
        <v>1</v>
      </c>
      <c r="M83" s="2">
        <v>30</v>
      </c>
      <c r="N83" s="2">
        <v>0.09</v>
      </c>
      <c r="O83" s="109">
        <v>2.6999999999999997</v>
      </c>
      <c r="P83" s="2">
        <v>1.6199999999999999</v>
      </c>
      <c r="Q83" s="2" t="s">
        <v>209</v>
      </c>
      <c r="R83" s="2" t="s">
        <v>89</v>
      </c>
      <c r="S83" s="2">
        <v>0.47335700000000003</v>
      </c>
      <c r="T83" s="2">
        <v>6.8409999999999999E-3</v>
      </c>
      <c r="U83" s="2">
        <v>100</v>
      </c>
      <c r="V83" s="2">
        <v>30373268</v>
      </c>
    </row>
    <row r="84" spans="1:22" x14ac:dyDescent="0.25">
      <c r="A84" s="2" t="s">
        <v>103</v>
      </c>
      <c r="B84" s="2" t="s">
        <v>103</v>
      </c>
      <c r="C84" s="2">
        <v>1</v>
      </c>
      <c r="D84" s="2">
        <v>4</v>
      </c>
      <c r="E84" s="2" t="s">
        <v>90</v>
      </c>
      <c r="F84" s="2" t="s">
        <v>206</v>
      </c>
      <c r="G84" s="2">
        <v>35</v>
      </c>
      <c r="H84" s="2" t="s">
        <v>15</v>
      </c>
      <c r="I84" s="2" t="s">
        <v>97</v>
      </c>
      <c r="J84" s="2" t="s">
        <v>208</v>
      </c>
      <c r="K84" s="2" t="s">
        <v>16</v>
      </c>
      <c r="L84" s="2">
        <v>1</v>
      </c>
      <c r="M84" s="2">
        <v>30</v>
      </c>
      <c r="N84" s="2">
        <v>0.11</v>
      </c>
      <c r="O84" s="109">
        <v>3.3</v>
      </c>
      <c r="P84" s="2">
        <v>1.98</v>
      </c>
      <c r="Q84" s="2" t="s">
        <v>209</v>
      </c>
      <c r="R84" s="2" t="s">
        <v>89</v>
      </c>
      <c r="S84" s="2">
        <v>0.47922199999999998</v>
      </c>
      <c r="T84" s="2">
        <v>7.4000000000000003E-3</v>
      </c>
      <c r="U84" s="2">
        <v>100</v>
      </c>
      <c r="V84" s="2">
        <v>30753152</v>
      </c>
    </row>
    <row r="85" spans="1:22" x14ac:dyDescent="0.25">
      <c r="A85" s="2" t="s">
        <v>104</v>
      </c>
      <c r="B85" s="2" t="s">
        <v>104</v>
      </c>
      <c r="C85" s="2">
        <v>1</v>
      </c>
      <c r="D85" s="2">
        <v>4</v>
      </c>
      <c r="E85" s="2" t="s">
        <v>90</v>
      </c>
      <c r="F85" s="2" t="s">
        <v>206</v>
      </c>
      <c r="G85" s="2">
        <v>86</v>
      </c>
      <c r="H85" s="2" t="s">
        <v>15</v>
      </c>
      <c r="I85" s="2" t="s">
        <v>99</v>
      </c>
      <c r="J85" s="2" t="s">
        <v>208</v>
      </c>
      <c r="K85" s="2" t="s">
        <v>16</v>
      </c>
      <c r="L85" s="2">
        <v>1</v>
      </c>
      <c r="M85" s="2">
        <v>30</v>
      </c>
      <c r="N85" s="2">
        <v>0.25700000000000001</v>
      </c>
      <c r="O85" s="109">
        <v>7.71</v>
      </c>
      <c r="P85" s="2">
        <v>4.6260000000000003</v>
      </c>
      <c r="Q85" s="2" t="s">
        <v>17</v>
      </c>
      <c r="R85" s="2" t="s">
        <v>89</v>
      </c>
      <c r="S85" s="2">
        <v>0.49611100000000002</v>
      </c>
      <c r="T85" s="2">
        <v>5.986E-3</v>
      </c>
      <c r="U85" s="2">
        <v>100</v>
      </c>
      <c r="V85" s="2">
        <v>31644558</v>
      </c>
    </row>
    <row r="86" spans="1:22" x14ac:dyDescent="0.25">
      <c r="A86" s="2" t="s">
        <v>105</v>
      </c>
      <c r="B86" s="2" t="s">
        <v>105</v>
      </c>
      <c r="C86" s="2">
        <v>1</v>
      </c>
      <c r="D86" s="2">
        <v>4</v>
      </c>
      <c r="E86" s="2" t="s">
        <v>90</v>
      </c>
      <c r="F86" s="2" t="s">
        <v>206</v>
      </c>
      <c r="G86" s="2">
        <v>74</v>
      </c>
      <c r="H86" s="2" t="s">
        <v>20</v>
      </c>
      <c r="I86" s="2" t="s">
        <v>97</v>
      </c>
      <c r="J86" s="2" t="s">
        <v>208</v>
      </c>
      <c r="K86" s="2" t="s">
        <v>16</v>
      </c>
      <c r="L86" s="2">
        <v>1</v>
      </c>
      <c r="M86" s="2">
        <v>30</v>
      </c>
      <c r="N86" s="2">
        <v>0.105</v>
      </c>
      <c r="O86" s="109">
        <v>3.15</v>
      </c>
      <c r="P86" s="2">
        <v>1.89</v>
      </c>
      <c r="Q86" s="2" t="s">
        <v>209</v>
      </c>
      <c r="R86" s="2" t="s">
        <v>89</v>
      </c>
      <c r="S86" s="2">
        <v>0.62539999999999996</v>
      </c>
      <c r="T86" s="2">
        <v>7.1980000000000004E-3</v>
      </c>
      <c r="U86" s="2">
        <v>100</v>
      </c>
      <c r="V86" s="2">
        <v>40126404</v>
      </c>
    </row>
    <row r="87" spans="1:22" x14ac:dyDescent="0.25">
      <c r="A87" s="2" t="s">
        <v>106</v>
      </c>
      <c r="B87" s="2" t="s">
        <v>106</v>
      </c>
      <c r="C87" s="2">
        <v>1</v>
      </c>
      <c r="D87" s="2">
        <v>4</v>
      </c>
      <c r="E87" s="2" t="s">
        <v>90</v>
      </c>
      <c r="F87" s="2" t="s">
        <v>206</v>
      </c>
      <c r="G87" s="2">
        <v>73</v>
      </c>
      <c r="H87" s="2" t="s">
        <v>15</v>
      </c>
      <c r="I87" s="2" t="s">
        <v>97</v>
      </c>
      <c r="J87" s="2" t="s">
        <v>208</v>
      </c>
      <c r="K87" s="2" t="s">
        <v>16</v>
      </c>
      <c r="L87" s="2">
        <v>1</v>
      </c>
      <c r="M87" s="2">
        <v>30</v>
      </c>
      <c r="N87" s="2">
        <v>0.217</v>
      </c>
      <c r="O87" s="109">
        <v>6.51</v>
      </c>
      <c r="P87" s="2">
        <v>3.9060000000000001</v>
      </c>
      <c r="Q87" s="2" t="s">
        <v>17</v>
      </c>
      <c r="R87" s="2" t="s">
        <v>107</v>
      </c>
      <c r="S87" s="2">
        <v>0.44016100000000002</v>
      </c>
      <c r="T87" s="2">
        <v>5.0530000000000002E-3</v>
      </c>
      <c r="U87" s="2">
        <v>100</v>
      </c>
      <c r="V87" s="2">
        <v>28103982</v>
      </c>
    </row>
    <row r="88" spans="1:22" x14ac:dyDescent="0.25">
      <c r="A88" s="2" t="s">
        <v>210</v>
      </c>
      <c r="B88" s="2" t="s">
        <v>173</v>
      </c>
      <c r="C88" s="2">
        <v>1</v>
      </c>
      <c r="D88" s="2">
        <v>4</v>
      </c>
      <c r="E88" s="2" t="s">
        <v>90</v>
      </c>
      <c r="F88" s="2" t="s">
        <v>206</v>
      </c>
      <c r="G88" s="2">
        <v>44</v>
      </c>
      <c r="H88" s="2" t="s">
        <v>20</v>
      </c>
      <c r="I88" s="2" t="s">
        <v>97</v>
      </c>
      <c r="J88" s="2" t="s">
        <v>208</v>
      </c>
      <c r="K88" s="2" t="s">
        <v>16</v>
      </c>
      <c r="L88" s="2">
        <v>1</v>
      </c>
      <c r="M88" s="2">
        <v>30</v>
      </c>
      <c r="N88" s="2">
        <v>7.0000000000000007E-2</v>
      </c>
      <c r="O88" s="109">
        <v>2.1</v>
      </c>
      <c r="P88" s="2">
        <v>1.2600000000000002</v>
      </c>
      <c r="Q88" s="2" t="s">
        <v>209</v>
      </c>
      <c r="R88" s="2" t="s">
        <v>195</v>
      </c>
      <c r="S88" s="2">
        <v>0.48057499999999997</v>
      </c>
      <c r="T88" s="2">
        <v>7.5139999999999998E-3</v>
      </c>
      <c r="U88" s="2">
        <v>99.58</v>
      </c>
      <c r="V88" s="2">
        <v>31246234</v>
      </c>
    </row>
    <row r="89" spans="1:22" x14ac:dyDescent="0.25">
      <c r="A89" s="2" t="s">
        <v>108</v>
      </c>
      <c r="B89" s="2" t="s">
        <v>108</v>
      </c>
      <c r="C89" s="2">
        <v>1</v>
      </c>
      <c r="D89" s="2">
        <v>4</v>
      </c>
      <c r="E89" s="2" t="s">
        <v>90</v>
      </c>
      <c r="F89" s="2" t="s">
        <v>206</v>
      </c>
      <c r="G89" s="2">
        <v>60</v>
      </c>
      <c r="H89" s="2" t="s">
        <v>15</v>
      </c>
      <c r="I89" s="2" t="s">
        <v>95</v>
      </c>
      <c r="J89" s="2" t="s">
        <v>207</v>
      </c>
      <c r="K89" s="2" t="s">
        <v>16</v>
      </c>
      <c r="L89" s="2">
        <v>1</v>
      </c>
      <c r="M89" s="2">
        <v>30</v>
      </c>
      <c r="N89" s="2">
        <v>0.14499999999999999</v>
      </c>
      <c r="O89" s="109">
        <v>4.3499999999999996</v>
      </c>
      <c r="P89" s="2">
        <v>2.61</v>
      </c>
      <c r="Q89" s="2" t="s">
        <v>22</v>
      </c>
      <c r="R89" s="2" t="s">
        <v>107</v>
      </c>
      <c r="S89" s="2">
        <v>0.39443600000000001</v>
      </c>
      <c r="T89" s="2">
        <v>5.7109999999999999E-3</v>
      </c>
      <c r="U89" s="2">
        <v>100</v>
      </c>
      <c r="V89" s="2">
        <v>25187454</v>
      </c>
    </row>
    <row r="90" spans="1:22" x14ac:dyDescent="0.25">
      <c r="A90" s="2" t="s">
        <v>109</v>
      </c>
      <c r="B90" s="2" t="s">
        <v>109</v>
      </c>
      <c r="C90" s="2">
        <v>1</v>
      </c>
      <c r="D90" s="2">
        <v>4</v>
      </c>
      <c r="E90" s="2" t="s">
        <v>90</v>
      </c>
      <c r="F90" s="2" t="s">
        <v>206</v>
      </c>
      <c r="G90" s="2">
        <v>73</v>
      </c>
      <c r="H90" s="2" t="s">
        <v>15</v>
      </c>
      <c r="I90" s="2" t="s">
        <v>101</v>
      </c>
      <c r="J90" s="2" t="s">
        <v>101</v>
      </c>
      <c r="K90" s="2" t="s">
        <v>16</v>
      </c>
      <c r="L90" s="2">
        <v>1</v>
      </c>
      <c r="M90" s="2">
        <v>30</v>
      </c>
      <c r="N90" s="2">
        <v>1.94</v>
      </c>
      <c r="O90" s="109">
        <v>58.199999999999996</v>
      </c>
      <c r="P90" s="2">
        <v>7.76</v>
      </c>
      <c r="Q90" s="2" t="s">
        <v>17</v>
      </c>
      <c r="R90" s="2" t="s">
        <v>107</v>
      </c>
      <c r="S90" s="2">
        <v>0.49810900000000002</v>
      </c>
      <c r="T90" s="2">
        <v>4.5659999999999997E-3</v>
      </c>
      <c r="U90" s="2">
        <v>100</v>
      </c>
      <c r="V90" s="2">
        <v>31999072</v>
      </c>
    </row>
    <row r="91" spans="1:22" x14ac:dyDescent="0.25">
      <c r="A91" s="2" t="s">
        <v>110</v>
      </c>
      <c r="B91" s="2" t="s">
        <v>110</v>
      </c>
      <c r="C91" s="2">
        <v>1</v>
      </c>
      <c r="D91" s="2">
        <v>4</v>
      </c>
      <c r="E91" s="2" t="s">
        <v>90</v>
      </c>
      <c r="F91" s="2" t="s">
        <v>206</v>
      </c>
      <c r="G91" s="2">
        <v>77</v>
      </c>
      <c r="H91" s="2" t="s">
        <v>15</v>
      </c>
      <c r="I91" s="2" t="s">
        <v>111</v>
      </c>
      <c r="J91" s="2" t="s">
        <v>111</v>
      </c>
      <c r="K91" s="2" t="s">
        <v>16</v>
      </c>
      <c r="L91" s="2">
        <v>1</v>
      </c>
      <c r="M91" s="2">
        <v>30</v>
      </c>
      <c r="N91" s="2">
        <v>0.189</v>
      </c>
      <c r="O91" s="109">
        <v>5.67</v>
      </c>
      <c r="P91" s="2">
        <v>3.4020000000000001</v>
      </c>
      <c r="Q91" s="2" t="s">
        <v>17</v>
      </c>
      <c r="R91" s="2" t="s">
        <v>107</v>
      </c>
      <c r="S91" s="2">
        <v>0.36798399999999998</v>
      </c>
      <c r="T91" s="2">
        <v>5.2550000000000001E-3</v>
      </c>
      <c r="U91" s="2">
        <v>100</v>
      </c>
      <c r="V91" s="2">
        <v>23471606</v>
      </c>
    </row>
    <row r="92" spans="1:22" x14ac:dyDescent="0.25">
      <c r="A92" s="2" t="s">
        <v>112</v>
      </c>
      <c r="B92" s="2" t="s">
        <v>112</v>
      </c>
      <c r="C92" s="2">
        <v>1</v>
      </c>
      <c r="D92" s="2">
        <v>4</v>
      </c>
      <c r="E92" s="2" t="s">
        <v>90</v>
      </c>
      <c r="F92" s="2" t="s">
        <v>206</v>
      </c>
      <c r="G92" s="2">
        <v>74</v>
      </c>
      <c r="H92" s="2" t="s">
        <v>15</v>
      </c>
      <c r="I92" s="2" t="s">
        <v>111</v>
      </c>
      <c r="J92" s="2" t="s">
        <v>111</v>
      </c>
      <c r="K92" s="2" t="s">
        <v>16</v>
      </c>
      <c r="L92" s="2">
        <v>1</v>
      </c>
      <c r="M92" s="2">
        <v>30</v>
      </c>
      <c r="N92" s="2">
        <v>0.16400000000000001</v>
      </c>
      <c r="O92" s="109">
        <v>4.92</v>
      </c>
      <c r="P92" s="2">
        <v>2.952</v>
      </c>
      <c r="Q92" s="2" t="s">
        <v>22</v>
      </c>
      <c r="R92" s="2" t="s">
        <v>107</v>
      </c>
      <c r="S92" s="2">
        <v>0.49987199999999998</v>
      </c>
      <c r="T92" s="2">
        <v>6.0029999999999997E-3</v>
      </c>
      <c r="U92" s="2">
        <v>100</v>
      </c>
      <c r="V92" s="2">
        <v>32046462</v>
      </c>
    </row>
    <row r="93" spans="1:22" x14ac:dyDescent="0.25">
      <c r="A93" s="2" t="s">
        <v>113</v>
      </c>
      <c r="B93" s="2" t="s">
        <v>113</v>
      </c>
      <c r="C93" s="2">
        <v>1</v>
      </c>
      <c r="D93" s="2">
        <v>4</v>
      </c>
      <c r="E93" s="2" t="s">
        <v>90</v>
      </c>
      <c r="F93" s="2" t="s">
        <v>206</v>
      </c>
      <c r="G93" s="2">
        <v>62</v>
      </c>
      <c r="H93" s="2" t="s">
        <v>15</v>
      </c>
      <c r="I93" s="2" t="s">
        <v>92</v>
      </c>
      <c r="J93" s="2" t="s">
        <v>92</v>
      </c>
      <c r="K93" s="2" t="s">
        <v>16</v>
      </c>
      <c r="L93" s="2">
        <v>1</v>
      </c>
      <c r="M93" s="2">
        <v>30</v>
      </c>
      <c r="N93" s="2">
        <v>0.27100000000000002</v>
      </c>
      <c r="O93" s="109">
        <v>8.1300000000000008</v>
      </c>
      <c r="P93" s="2">
        <v>4.8780000000000001</v>
      </c>
      <c r="Q93" s="2" t="s">
        <v>17</v>
      </c>
      <c r="R93" s="2" t="s">
        <v>114</v>
      </c>
      <c r="S93" s="2">
        <v>0.473746</v>
      </c>
      <c r="T93" s="2">
        <v>5.5240000000000003E-3</v>
      </c>
      <c r="U93" s="2">
        <v>99.56</v>
      </c>
      <c r="V93" s="2">
        <v>30824358</v>
      </c>
    </row>
    <row r="94" spans="1:22" x14ac:dyDescent="0.25">
      <c r="A94" s="2" t="s">
        <v>115</v>
      </c>
      <c r="B94" s="2" t="s">
        <v>115</v>
      </c>
      <c r="C94" s="2">
        <v>1</v>
      </c>
      <c r="D94" s="2">
        <v>4</v>
      </c>
      <c r="E94" s="2" t="s">
        <v>90</v>
      </c>
      <c r="F94" s="2" t="s">
        <v>206</v>
      </c>
      <c r="G94" s="2">
        <v>48</v>
      </c>
      <c r="H94" s="2" t="s">
        <v>20</v>
      </c>
      <c r="I94" s="2" t="s">
        <v>97</v>
      </c>
      <c r="J94" s="2" t="s">
        <v>208</v>
      </c>
      <c r="K94" s="2" t="s">
        <v>16</v>
      </c>
      <c r="L94" s="2">
        <v>1</v>
      </c>
      <c r="M94" s="2">
        <v>30</v>
      </c>
      <c r="N94" s="2">
        <v>0.22600000000000001</v>
      </c>
      <c r="O94" s="109">
        <v>6.78</v>
      </c>
      <c r="P94" s="2">
        <v>4.0680000000000005</v>
      </c>
      <c r="Q94" s="2" t="s">
        <v>17</v>
      </c>
      <c r="R94" s="2" t="s">
        <v>114</v>
      </c>
      <c r="S94" s="2">
        <v>0.40286300000000003</v>
      </c>
      <c r="T94" s="2">
        <v>4.7850000000000002E-3</v>
      </c>
      <c r="U94" s="2">
        <v>99.61</v>
      </c>
      <c r="V94" s="2">
        <v>26058490</v>
      </c>
    </row>
    <row r="95" spans="1:22" x14ac:dyDescent="0.25">
      <c r="A95" s="2" t="s">
        <v>116</v>
      </c>
      <c r="B95" s="2" t="s">
        <v>116</v>
      </c>
      <c r="C95" s="2">
        <v>1</v>
      </c>
      <c r="D95" s="2">
        <v>4</v>
      </c>
      <c r="E95" s="2" t="s">
        <v>90</v>
      </c>
      <c r="F95" s="2" t="s">
        <v>206</v>
      </c>
      <c r="G95" s="2">
        <v>54</v>
      </c>
      <c r="H95" s="2" t="s">
        <v>20</v>
      </c>
      <c r="I95" s="2" t="s">
        <v>95</v>
      </c>
      <c r="J95" s="2" t="s">
        <v>207</v>
      </c>
      <c r="K95" s="2" t="s">
        <v>16</v>
      </c>
      <c r="L95" s="2">
        <v>1</v>
      </c>
      <c r="M95" s="2">
        <v>30</v>
      </c>
      <c r="N95" s="2">
        <v>0.15</v>
      </c>
      <c r="O95" s="109">
        <v>4.5</v>
      </c>
      <c r="P95" s="2">
        <v>2.6999999999999997</v>
      </c>
      <c r="Q95" s="2" t="s">
        <v>22</v>
      </c>
      <c r="R95" s="2" t="s">
        <v>117</v>
      </c>
      <c r="S95" s="2">
        <v>0.35142699999999999</v>
      </c>
      <c r="T95" s="2">
        <v>6.0200000000000002E-3</v>
      </c>
      <c r="U95" s="2">
        <v>99.66</v>
      </c>
      <c r="V95" s="2">
        <v>22891599</v>
      </c>
    </row>
    <row r="96" spans="1:22" x14ac:dyDescent="0.25">
      <c r="A96" s="2" t="s">
        <v>118</v>
      </c>
      <c r="B96" s="2" t="s">
        <v>118</v>
      </c>
      <c r="C96" s="2">
        <v>1</v>
      </c>
      <c r="D96" s="2">
        <v>4</v>
      </c>
      <c r="E96" s="2" t="s">
        <v>90</v>
      </c>
      <c r="F96" s="2" t="s">
        <v>206</v>
      </c>
      <c r="G96" s="2">
        <v>70</v>
      </c>
      <c r="H96" s="2" t="s">
        <v>20</v>
      </c>
      <c r="I96" s="2" t="s">
        <v>92</v>
      </c>
      <c r="J96" s="2" t="s">
        <v>92</v>
      </c>
      <c r="K96" s="2" t="s">
        <v>16</v>
      </c>
      <c r="L96" s="2">
        <v>1</v>
      </c>
      <c r="M96" s="2">
        <v>30</v>
      </c>
      <c r="N96" s="2">
        <v>0.16</v>
      </c>
      <c r="O96" s="109">
        <v>4.8</v>
      </c>
      <c r="P96" s="2">
        <v>2.88</v>
      </c>
      <c r="Q96" s="2" t="s">
        <v>22</v>
      </c>
      <c r="R96" s="2" t="s">
        <v>119</v>
      </c>
      <c r="S96" s="2">
        <v>0.59130799999999994</v>
      </c>
      <c r="T96" s="2">
        <v>8.6639999999999998E-3</v>
      </c>
      <c r="U96" s="2">
        <v>99.64</v>
      </c>
      <c r="V96" s="2">
        <v>38419496</v>
      </c>
    </row>
    <row r="97" spans="1:22" x14ac:dyDescent="0.25">
      <c r="A97" s="2" t="s">
        <v>120</v>
      </c>
      <c r="B97" s="2" t="s">
        <v>120</v>
      </c>
      <c r="C97" s="2">
        <v>1</v>
      </c>
      <c r="D97" s="2">
        <v>4</v>
      </c>
      <c r="E97" s="2" t="s">
        <v>90</v>
      </c>
      <c r="F97" s="2" t="s">
        <v>206</v>
      </c>
      <c r="G97" s="2">
        <v>60</v>
      </c>
      <c r="H97" s="2" t="s">
        <v>15</v>
      </c>
      <c r="I97" s="2" t="s">
        <v>97</v>
      </c>
      <c r="J97" s="2" t="s">
        <v>208</v>
      </c>
      <c r="K97" s="2" t="s">
        <v>16</v>
      </c>
      <c r="L97" s="2">
        <v>1</v>
      </c>
      <c r="M97" s="2">
        <v>30</v>
      </c>
      <c r="N97" s="2">
        <v>0.24199999999999999</v>
      </c>
      <c r="O97" s="109">
        <v>7.26</v>
      </c>
      <c r="P97" s="2">
        <v>4.3559999999999999</v>
      </c>
      <c r="Q97" s="2" t="s">
        <v>17</v>
      </c>
      <c r="R97" s="2" t="s">
        <v>119</v>
      </c>
      <c r="S97" s="2">
        <v>0.68843600000000005</v>
      </c>
      <c r="T97" s="2">
        <v>8.3160000000000005E-3</v>
      </c>
      <c r="U97" s="2">
        <v>99.61</v>
      </c>
      <c r="V97" s="2">
        <v>44962415</v>
      </c>
    </row>
    <row r="98" spans="1:22" x14ac:dyDescent="0.25">
      <c r="A98" s="2" t="s">
        <v>121</v>
      </c>
      <c r="B98" s="2" t="s">
        <v>121</v>
      </c>
      <c r="C98" s="2">
        <v>1</v>
      </c>
      <c r="D98" s="2">
        <v>4</v>
      </c>
      <c r="E98" s="2" t="s">
        <v>90</v>
      </c>
      <c r="F98" s="2" t="s">
        <v>206</v>
      </c>
      <c r="G98" s="2">
        <v>68</v>
      </c>
      <c r="H98" s="2" t="s">
        <v>20</v>
      </c>
      <c r="I98" s="2" t="s">
        <v>134</v>
      </c>
      <c r="J98" s="2" t="s">
        <v>207</v>
      </c>
      <c r="K98" s="2" t="s">
        <v>16</v>
      </c>
      <c r="L98" s="2">
        <v>1</v>
      </c>
      <c r="M98" s="2">
        <v>30</v>
      </c>
      <c r="N98" s="2">
        <v>0.252</v>
      </c>
      <c r="O98" s="109">
        <v>7.5600000000000005</v>
      </c>
      <c r="P98" s="2">
        <v>4.5359999999999996</v>
      </c>
      <c r="Q98" s="2" t="s">
        <v>17</v>
      </c>
      <c r="R98" s="2" t="s">
        <v>122</v>
      </c>
      <c r="S98" s="2">
        <v>0.74069399999999996</v>
      </c>
      <c r="T98" s="2">
        <v>9.2879999999999994E-3</v>
      </c>
      <c r="U98" s="2">
        <v>99.44</v>
      </c>
      <c r="V98" s="2">
        <v>48799476</v>
      </c>
    </row>
    <row r="99" spans="1:22" x14ac:dyDescent="0.25">
      <c r="A99" s="2" t="s">
        <v>123</v>
      </c>
      <c r="B99" s="2" t="s">
        <v>123</v>
      </c>
      <c r="C99" s="2">
        <v>1</v>
      </c>
      <c r="D99" s="2">
        <v>4</v>
      </c>
      <c r="E99" s="2" t="s">
        <v>90</v>
      </c>
      <c r="F99" s="2" t="s">
        <v>206</v>
      </c>
      <c r="G99" s="2">
        <v>52</v>
      </c>
      <c r="H99" s="2" t="s">
        <v>20</v>
      </c>
      <c r="I99" s="2" t="s">
        <v>92</v>
      </c>
      <c r="J99" s="2" t="s">
        <v>92</v>
      </c>
      <c r="K99" s="2" t="s">
        <v>16</v>
      </c>
      <c r="L99" s="2">
        <v>1</v>
      </c>
      <c r="M99" s="2">
        <v>30</v>
      </c>
      <c r="N99" s="2">
        <v>0.216</v>
      </c>
      <c r="O99" s="109">
        <v>6.4799999999999995</v>
      </c>
      <c r="P99" s="2">
        <v>3.8879999999999999</v>
      </c>
      <c r="Q99" s="2" t="s">
        <v>17</v>
      </c>
      <c r="R99" s="2" t="s">
        <v>122</v>
      </c>
      <c r="S99" s="2">
        <v>0.66656199999999999</v>
      </c>
      <c r="T99" s="2">
        <v>8.7480000000000006E-3</v>
      </c>
      <c r="U99" s="2">
        <v>99.47</v>
      </c>
      <c r="V99" s="2">
        <v>43875784</v>
      </c>
    </row>
    <row r="100" spans="1:22" x14ac:dyDescent="0.25">
      <c r="A100" s="2" t="s">
        <v>124</v>
      </c>
      <c r="B100" s="2" t="s">
        <v>124</v>
      </c>
      <c r="C100" s="2">
        <v>1</v>
      </c>
      <c r="D100" s="2">
        <v>4</v>
      </c>
      <c r="E100" s="2" t="s">
        <v>90</v>
      </c>
      <c r="F100" s="2" t="s">
        <v>206</v>
      </c>
      <c r="G100" s="2">
        <v>48</v>
      </c>
      <c r="H100" s="2" t="s">
        <v>15</v>
      </c>
      <c r="I100" s="2" t="s">
        <v>97</v>
      </c>
      <c r="J100" s="2" t="s">
        <v>208</v>
      </c>
      <c r="K100" s="2" t="s">
        <v>16</v>
      </c>
      <c r="L100" s="2">
        <v>1</v>
      </c>
      <c r="M100" s="2">
        <v>30</v>
      </c>
      <c r="N100" s="2">
        <v>0.23499999999999999</v>
      </c>
      <c r="O100" s="109">
        <v>7.05</v>
      </c>
      <c r="P100" s="2">
        <v>4.2299999999999995</v>
      </c>
      <c r="Q100" s="2" t="s">
        <v>17</v>
      </c>
      <c r="R100" s="2" t="s">
        <v>122</v>
      </c>
      <c r="S100" s="2">
        <v>0.66070499999999999</v>
      </c>
      <c r="T100" s="2">
        <v>9.443E-3</v>
      </c>
      <c r="U100" s="2">
        <v>99.45</v>
      </c>
      <c r="V100" s="2">
        <v>43520827</v>
      </c>
    </row>
    <row r="101" spans="1:22" x14ac:dyDescent="0.25">
      <c r="A101" s="2" t="s">
        <v>125</v>
      </c>
      <c r="B101" s="2" t="s">
        <v>125</v>
      </c>
      <c r="C101" s="2">
        <v>1</v>
      </c>
      <c r="D101" s="2">
        <v>4</v>
      </c>
      <c r="E101" s="2" t="s">
        <v>90</v>
      </c>
      <c r="F101" s="2" t="s">
        <v>206</v>
      </c>
      <c r="G101" s="2">
        <v>50</v>
      </c>
      <c r="H101" s="2" t="s">
        <v>15</v>
      </c>
      <c r="I101" s="2" t="s">
        <v>99</v>
      </c>
      <c r="J101" s="2" t="s">
        <v>208</v>
      </c>
      <c r="K101" s="2" t="s">
        <v>16</v>
      </c>
      <c r="L101" s="2">
        <v>1</v>
      </c>
      <c r="M101" s="2">
        <v>30</v>
      </c>
      <c r="N101" s="2">
        <v>0.14599999999999999</v>
      </c>
      <c r="O101" s="109">
        <v>4.38</v>
      </c>
      <c r="P101" s="2">
        <v>2.6279999999999997</v>
      </c>
      <c r="Q101" s="2" t="s">
        <v>22</v>
      </c>
      <c r="R101" s="2" t="s">
        <v>126</v>
      </c>
      <c r="S101" s="2">
        <v>0.462202</v>
      </c>
      <c r="T101" s="2">
        <v>9.1540000000000007E-3</v>
      </c>
      <c r="U101" s="2">
        <v>99.58</v>
      </c>
      <c r="V101" s="2">
        <v>30324131</v>
      </c>
    </row>
    <row r="102" spans="1:22" x14ac:dyDescent="0.25">
      <c r="A102" s="2" t="s">
        <v>127</v>
      </c>
      <c r="B102" s="2" t="s">
        <v>127</v>
      </c>
      <c r="C102" s="2">
        <v>1</v>
      </c>
      <c r="D102" s="2">
        <v>4</v>
      </c>
      <c r="E102" s="2" t="s">
        <v>90</v>
      </c>
      <c r="F102" s="2" t="s">
        <v>206</v>
      </c>
      <c r="G102" s="2">
        <v>52</v>
      </c>
      <c r="H102" s="2" t="s">
        <v>15</v>
      </c>
      <c r="I102" s="2" t="s">
        <v>97</v>
      </c>
      <c r="J102" s="2" t="s">
        <v>208</v>
      </c>
      <c r="K102" s="2" t="s">
        <v>16</v>
      </c>
      <c r="L102" s="2">
        <v>1</v>
      </c>
      <c r="M102" s="2">
        <v>30</v>
      </c>
      <c r="N102" s="2">
        <v>0.192</v>
      </c>
      <c r="O102" s="109">
        <v>5.76</v>
      </c>
      <c r="P102" s="2">
        <v>3.456</v>
      </c>
      <c r="Q102" s="2" t="s">
        <v>17</v>
      </c>
      <c r="R102" s="2" t="s">
        <v>122</v>
      </c>
      <c r="S102" s="2">
        <v>0.69811400000000001</v>
      </c>
      <c r="T102" s="2">
        <v>1.0181000000000001E-2</v>
      </c>
      <c r="U102" s="2">
        <v>99.44</v>
      </c>
      <c r="V102" s="2">
        <v>45996607</v>
      </c>
    </row>
    <row r="103" spans="1:22" x14ac:dyDescent="0.25">
      <c r="A103" s="2" t="s">
        <v>128</v>
      </c>
      <c r="B103" s="2" t="s">
        <v>128</v>
      </c>
      <c r="C103" s="2">
        <v>1</v>
      </c>
      <c r="D103" s="2">
        <v>4</v>
      </c>
      <c r="E103" s="2" t="s">
        <v>90</v>
      </c>
      <c r="F103" s="2" t="s">
        <v>206</v>
      </c>
      <c r="G103" s="2">
        <v>68</v>
      </c>
      <c r="H103" s="2" t="s">
        <v>20</v>
      </c>
      <c r="I103" s="2" t="s">
        <v>111</v>
      </c>
      <c r="J103" s="2" t="s">
        <v>111</v>
      </c>
      <c r="K103" s="2" t="s">
        <v>16</v>
      </c>
      <c r="L103" s="2">
        <v>1</v>
      </c>
      <c r="M103" s="2">
        <v>30</v>
      </c>
      <c r="N103" s="2">
        <v>0.26100000000000001</v>
      </c>
      <c r="O103" s="109">
        <v>7.83</v>
      </c>
      <c r="P103" s="2">
        <v>4.6980000000000004</v>
      </c>
      <c r="Q103" s="2" t="s">
        <v>17</v>
      </c>
      <c r="R103" s="2" t="s">
        <v>129</v>
      </c>
      <c r="S103" s="2">
        <v>0.68253900000000001</v>
      </c>
      <c r="T103" s="2">
        <v>6.8250000000000003E-3</v>
      </c>
      <c r="U103" s="2">
        <v>99.65</v>
      </c>
      <c r="V103" s="2">
        <v>44354150</v>
      </c>
    </row>
    <row r="104" spans="1:22" x14ac:dyDescent="0.25">
      <c r="A104" s="2" t="s">
        <v>130</v>
      </c>
      <c r="B104" s="2" t="s">
        <v>130</v>
      </c>
      <c r="C104" s="2">
        <v>1</v>
      </c>
      <c r="D104" s="2">
        <v>4</v>
      </c>
      <c r="E104" s="2" t="s">
        <v>90</v>
      </c>
      <c r="F104" s="2" t="s">
        <v>206</v>
      </c>
      <c r="G104" s="2">
        <v>64</v>
      </c>
      <c r="H104" s="2" t="s">
        <v>15</v>
      </c>
      <c r="I104" s="2" t="s">
        <v>97</v>
      </c>
      <c r="J104" s="2" t="s">
        <v>208</v>
      </c>
      <c r="K104" s="2" t="s">
        <v>16</v>
      </c>
      <c r="L104" s="2">
        <v>1</v>
      </c>
      <c r="M104" s="2">
        <v>30</v>
      </c>
      <c r="N104" s="2">
        <v>0.36</v>
      </c>
      <c r="O104" s="109">
        <v>10.799999999999999</v>
      </c>
      <c r="P104" s="2">
        <v>4.68</v>
      </c>
      <c r="Q104" s="2" t="s">
        <v>17</v>
      </c>
      <c r="R104" s="2" t="s">
        <v>129</v>
      </c>
      <c r="S104" s="2">
        <v>0.58331500000000003</v>
      </c>
      <c r="T104" s="2">
        <v>6.0150000000000004E-3</v>
      </c>
      <c r="U104" s="2">
        <v>99.56</v>
      </c>
      <c r="V104" s="2">
        <v>38097779</v>
      </c>
    </row>
    <row r="105" spans="1:22" x14ac:dyDescent="0.25">
      <c r="A105" s="2" t="s">
        <v>131</v>
      </c>
      <c r="B105" s="2" t="s">
        <v>131</v>
      </c>
      <c r="C105" s="2">
        <v>1</v>
      </c>
      <c r="D105" s="2">
        <v>4</v>
      </c>
      <c r="E105" s="2" t="s">
        <v>90</v>
      </c>
      <c r="F105" s="2" t="s">
        <v>206</v>
      </c>
      <c r="G105" s="2">
        <v>45</v>
      </c>
      <c r="H105" s="2" t="s">
        <v>15</v>
      </c>
      <c r="I105" s="2" t="s">
        <v>97</v>
      </c>
      <c r="J105" s="2" t="s">
        <v>208</v>
      </c>
      <c r="K105" s="2" t="s">
        <v>16</v>
      </c>
      <c r="L105" s="2">
        <v>1</v>
      </c>
      <c r="M105" s="2">
        <v>30</v>
      </c>
      <c r="N105" s="2">
        <v>0.187</v>
      </c>
      <c r="O105" s="109">
        <v>5.61</v>
      </c>
      <c r="P105" s="2">
        <v>3.3660000000000001</v>
      </c>
      <c r="Q105" s="2" t="s">
        <v>17</v>
      </c>
      <c r="R105" s="2" t="s">
        <v>132</v>
      </c>
      <c r="S105" s="2">
        <v>0.40239599999999998</v>
      </c>
      <c r="T105" s="2">
        <v>7.9439999999999997E-3</v>
      </c>
      <c r="U105" s="2">
        <v>99.58</v>
      </c>
      <c r="V105" s="2">
        <v>26230075</v>
      </c>
    </row>
    <row r="106" spans="1:22" x14ac:dyDescent="0.25">
      <c r="A106" s="2" t="s">
        <v>133</v>
      </c>
      <c r="B106" s="2" t="s">
        <v>133</v>
      </c>
      <c r="C106" s="2">
        <v>1</v>
      </c>
      <c r="D106" s="2">
        <v>4</v>
      </c>
      <c r="E106" s="2" t="s">
        <v>90</v>
      </c>
      <c r="F106" s="2" t="s">
        <v>206</v>
      </c>
      <c r="G106" s="2">
        <v>59</v>
      </c>
      <c r="H106" s="2" t="s">
        <v>15</v>
      </c>
      <c r="I106" s="2" t="s">
        <v>134</v>
      </c>
      <c r="J106" s="2" t="s">
        <v>207</v>
      </c>
      <c r="K106" s="2" t="s">
        <v>16</v>
      </c>
      <c r="L106" s="2">
        <v>1</v>
      </c>
      <c r="M106" s="2">
        <v>30</v>
      </c>
      <c r="N106" s="2">
        <v>0.29599999999999999</v>
      </c>
      <c r="O106" s="109">
        <v>8.879999999999999</v>
      </c>
      <c r="P106" s="2">
        <v>4.4399999999999995</v>
      </c>
      <c r="Q106" s="2" t="s">
        <v>17</v>
      </c>
      <c r="R106" s="2" t="s">
        <v>135</v>
      </c>
      <c r="S106" s="2">
        <v>0.60894099999999995</v>
      </c>
      <c r="T106" s="2">
        <v>8.3479999999999995E-3</v>
      </c>
      <c r="U106" s="2">
        <v>99.61</v>
      </c>
      <c r="V106" s="2">
        <v>39814482</v>
      </c>
    </row>
    <row r="107" spans="1:22" x14ac:dyDescent="0.25">
      <c r="A107" s="2" t="s">
        <v>136</v>
      </c>
      <c r="B107" s="2" t="s">
        <v>136</v>
      </c>
      <c r="C107" s="2">
        <v>1</v>
      </c>
      <c r="D107" s="2">
        <v>4</v>
      </c>
      <c r="E107" s="2" t="s">
        <v>90</v>
      </c>
      <c r="F107" s="2" t="s">
        <v>206</v>
      </c>
      <c r="G107" s="2">
        <v>44</v>
      </c>
      <c r="H107" s="2" t="s">
        <v>15</v>
      </c>
      <c r="I107" s="2" t="s">
        <v>95</v>
      </c>
      <c r="J107" s="2" t="s">
        <v>207</v>
      </c>
      <c r="K107" s="2" t="s">
        <v>16</v>
      </c>
      <c r="L107" s="2">
        <v>1</v>
      </c>
      <c r="M107" s="2">
        <v>30</v>
      </c>
      <c r="N107" s="2">
        <v>0.27700000000000002</v>
      </c>
      <c r="O107" s="109">
        <v>8.31</v>
      </c>
      <c r="P107" s="2">
        <v>4.9860000000000007</v>
      </c>
      <c r="Q107" s="2" t="s">
        <v>17</v>
      </c>
      <c r="R107" s="2" t="s">
        <v>135</v>
      </c>
      <c r="S107" s="2">
        <v>0.45861099999999999</v>
      </c>
      <c r="T107" s="2">
        <v>9.051E-3</v>
      </c>
      <c r="U107" s="2">
        <v>99.54</v>
      </c>
      <c r="V107" s="2">
        <v>30381516</v>
      </c>
    </row>
    <row r="108" spans="1:22" x14ac:dyDescent="0.25">
      <c r="A108" s="2" t="s">
        <v>137</v>
      </c>
      <c r="B108" s="2" t="s">
        <v>137</v>
      </c>
      <c r="C108" s="2">
        <v>1</v>
      </c>
      <c r="D108" s="2">
        <v>4</v>
      </c>
      <c r="E108" s="2" t="s">
        <v>90</v>
      </c>
      <c r="F108" s="2" t="s">
        <v>206</v>
      </c>
      <c r="G108" s="2">
        <v>47</v>
      </c>
      <c r="H108" s="2" t="s">
        <v>15</v>
      </c>
      <c r="I108" s="2" t="s">
        <v>111</v>
      </c>
      <c r="J108" s="2" t="s">
        <v>111</v>
      </c>
      <c r="K108" s="2" t="s">
        <v>16</v>
      </c>
      <c r="L108" s="2">
        <v>1</v>
      </c>
      <c r="M108" s="2">
        <v>30</v>
      </c>
      <c r="N108" s="2">
        <v>0.221</v>
      </c>
      <c r="O108" s="109">
        <v>6.63</v>
      </c>
      <c r="P108" s="2">
        <v>3.9780000000000002</v>
      </c>
      <c r="Q108" s="2" t="s">
        <v>17</v>
      </c>
      <c r="R108" s="2" t="s">
        <v>135</v>
      </c>
      <c r="S108" s="2">
        <v>0.54113100000000003</v>
      </c>
      <c r="T108" s="2">
        <v>1.0536999999999999E-2</v>
      </c>
      <c r="U108" s="2">
        <v>99.58</v>
      </c>
      <c r="V108" s="2">
        <v>35650655</v>
      </c>
    </row>
    <row r="109" spans="1:22" x14ac:dyDescent="0.25">
      <c r="A109" s="2" t="s">
        <v>138</v>
      </c>
      <c r="B109" s="2" t="s">
        <v>138</v>
      </c>
      <c r="C109" s="2">
        <v>1</v>
      </c>
      <c r="D109" s="2">
        <v>4</v>
      </c>
      <c r="E109" s="2" t="s">
        <v>90</v>
      </c>
      <c r="F109" s="2" t="s">
        <v>206</v>
      </c>
      <c r="G109" s="2">
        <v>62</v>
      </c>
      <c r="H109" s="2" t="s">
        <v>20</v>
      </c>
      <c r="I109" s="2" t="s">
        <v>95</v>
      </c>
      <c r="J109" s="2" t="s">
        <v>207</v>
      </c>
      <c r="K109" s="2" t="s">
        <v>16</v>
      </c>
      <c r="L109" s="2">
        <v>1</v>
      </c>
      <c r="M109" s="2">
        <v>30</v>
      </c>
      <c r="N109" s="2">
        <v>0.24299999999999999</v>
      </c>
      <c r="O109" s="109">
        <v>7.29</v>
      </c>
      <c r="P109" s="2">
        <v>4.3739999999999997</v>
      </c>
      <c r="Q109" s="2" t="s">
        <v>17</v>
      </c>
      <c r="R109" s="2" t="s">
        <v>135</v>
      </c>
      <c r="S109" s="2">
        <v>0.48241899999999999</v>
      </c>
      <c r="T109" s="2">
        <v>9.3930000000000003E-3</v>
      </c>
      <c r="U109" s="2">
        <v>99.61</v>
      </c>
      <c r="V109" s="2">
        <v>31523384</v>
      </c>
    </row>
    <row r="110" spans="1:22" x14ac:dyDescent="0.25">
      <c r="A110" s="2" t="s">
        <v>139</v>
      </c>
      <c r="B110" s="2" t="s">
        <v>139</v>
      </c>
      <c r="C110" s="2">
        <v>1</v>
      </c>
      <c r="D110" s="2">
        <v>4</v>
      </c>
      <c r="E110" s="2" t="s">
        <v>90</v>
      </c>
      <c r="F110" s="2" t="s">
        <v>206</v>
      </c>
      <c r="G110" s="2">
        <v>52</v>
      </c>
      <c r="H110" s="2" t="s">
        <v>15</v>
      </c>
      <c r="I110" s="2" t="s">
        <v>95</v>
      </c>
      <c r="J110" s="2" t="s">
        <v>207</v>
      </c>
      <c r="K110" s="2" t="s">
        <v>16</v>
      </c>
      <c r="L110" s="2">
        <v>1</v>
      </c>
      <c r="M110" s="2">
        <v>30</v>
      </c>
      <c r="N110" s="2">
        <v>0.151</v>
      </c>
      <c r="O110" s="109">
        <v>4.53</v>
      </c>
      <c r="P110" s="2">
        <v>2.718</v>
      </c>
      <c r="Q110" s="2" t="s">
        <v>22</v>
      </c>
      <c r="R110" s="2" t="s">
        <v>135</v>
      </c>
      <c r="S110" s="2">
        <v>0.40360699999999999</v>
      </c>
      <c r="T110" s="2">
        <v>8.8599999999999998E-3</v>
      </c>
      <c r="U110" s="2">
        <v>99.54</v>
      </c>
      <c r="V110" s="2">
        <v>26535186</v>
      </c>
    </row>
    <row r="111" spans="1:22" x14ac:dyDescent="0.25">
      <c r="A111" s="2" t="s">
        <v>140</v>
      </c>
      <c r="B111" s="2" t="s">
        <v>140</v>
      </c>
      <c r="C111" s="2">
        <v>1</v>
      </c>
      <c r="D111" s="2">
        <v>4</v>
      </c>
      <c r="E111" s="2" t="s">
        <v>90</v>
      </c>
      <c r="F111" s="2" t="s">
        <v>206</v>
      </c>
      <c r="G111" s="2">
        <v>50</v>
      </c>
      <c r="H111" s="2" t="s">
        <v>15</v>
      </c>
      <c r="I111" s="2" t="s">
        <v>99</v>
      </c>
      <c r="J111" s="2" t="s">
        <v>208</v>
      </c>
      <c r="K111" s="2" t="s">
        <v>16</v>
      </c>
      <c r="L111" s="2">
        <v>2</v>
      </c>
      <c r="M111" s="2">
        <v>30</v>
      </c>
      <c r="N111" s="2">
        <v>0.25800000000000001</v>
      </c>
      <c r="O111" s="109">
        <v>3.87</v>
      </c>
      <c r="P111" s="2">
        <v>4.6440000000000001</v>
      </c>
      <c r="Q111" s="2" t="s">
        <v>17</v>
      </c>
      <c r="R111" s="2" t="s">
        <v>18</v>
      </c>
      <c r="S111" s="2">
        <v>0.52307499999999996</v>
      </c>
      <c r="T111" s="2">
        <v>6.7850000000000002E-3</v>
      </c>
      <c r="U111" s="2">
        <v>99.55</v>
      </c>
      <c r="V111" s="2">
        <v>34368719</v>
      </c>
    </row>
    <row r="112" spans="1:22" x14ac:dyDescent="0.25">
      <c r="A112" s="2" t="s">
        <v>141</v>
      </c>
      <c r="B112" s="2" t="s">
        <v>141</v>
      </c>
      <c r="C112" s="2" t="e">
        <v>#N/A</v>
      </c>
      <c r="D112" s="2" t="e">
        <v>#N/A</v>
      </c>
      <c r="E112" s="2" t="s">
        <v>142</v>
      </c>
      <c r="F112" s="2" t="s">
        <v>211</v>
      </c>
      <c r="G112" s="2">
        <v>32</v>
      </c>
      <c r="H112" s="2" t="s">
        <v>20</v>
      </c>
      <c r="I112" s="2" t="s">
        <v>134</v>
      </c>
      <c r="J112" s="2" t="s">
        <v>207</v>
      </c>
      <c r="K112" s="2" t="s">
        <v>16</v>
      </c>
      <c r="L112" s="2">
        <v>1.7</v>
      </c>
      <c r="M112" s="2">
        <v>30</v>
      </c>
      <c r="N112" s="2">
        <v>0.629</v>
      </c>
      <c r="O112" s="109">
        <v>11.100000000000001</v>
      </c>
      <c r="P112" s="2">
        <v>4.4029999999999996</v>
      </c>
      <c r="Q112" s="2" t="s">
        <v>17</v>
      </c>
      <c r="R112" s="2" t="s">
        <v>26</v>
      </c>
      <c r="S112" s="2">
        <v>0.55648699999999995</v>
      </c>
      <c r="T112" s="2">
        <v>6.3959999999999998E-3</v>
      </c>
      <c r="U112" s="2">
        <v>99.64</v>
      </c>
      <c r="V112" s="2">
        <v>36056212</v>
      </c>
    </row>
    <row r="113" spans="1:22" x14ac:dyDescent="0.25">
      <c r="A113" s="2" t="s">
        <v>143</v>
      </c>
      <c r="B113" s="2" t="s">
        <v>143</v>
      </c>
      <c r="C113" s="2" t="e">
        <v>#N/A</v>
      </c>
      <c r="D113" s="2" t="e">
        <v>#N/A</v>
      </c>
      <c r="E113" s="2" t="s">
        <v>142</v>
      </c>
      <c r="F113" s="2" t="s">
        <v>211</v>
      </c>
      <c r="G113" s="2">
        <v>55</v>
      </c>
      <c r="H113" s="2" t="s">
        <v>15</v>
      </c>
      <c r="I113" s="2" t="s">
        <v>212</v>
      </c>
      <c r="J113" s="2" t="s">
        <v>212</v>
      </c>
      <c r="K113" s="2" t="s">
        <v>16</v>
      </c>
      <c r="L113" s="2">
        <v>1.5</v>
      </c>
      <c r="M113" s="2">
        <v>30</v>
      </c>
      <c r="N113" s="2">
        <v>0.50600000000000001</v>
      </c>
      <c r="O113" s="109">
        <v>10.119999999999999</v>
      </c>
      <c r="P113" s="2">
        <v>4.5540000000000003</v>
      </c>
      <c r="Q113" s="2" t="s">
        <v>17</v>
      </c>
      <c r="R113" s="2" t="s">
        <v>26</v>
      </c>
      <c r="S113" s="2">
        <v>0.60404000000000002</v>
      </c>
      <c r="T113" s="2">
        <v>6.607E-3</v>
      </c>
      <c r="U113" s="2">
        <v>99.5</v>
      </c>
      <c r="V113" s="2">
        <v>39763648</v>
      </c>
    </row>
    <row r="114" spans="1:22" x14ac:dyDescent="0.25">
      <c r="A114" s="2" t="s">
        <v>144</v>
      </c>
      <c r="B114" s="2" t="s">
        <v>144</v>
      </c>
      <c r="C114" s="2" t="e">
        <v>#N/A</v>
      </c>
      <c r="D114" s="2" t="e">
        <v>#N/A</v>
      </c>
      <c r="E114" s="2" t="s">
        <v>142</v>
      </c>
      <c r="F114" s="2" t="s">
        <v>211</v>
      </c>
      <c r="G114" s="2">
        <v>66</v>
      </c>
      <c r="H114" s="2" t="s">
        <v>15</v>
      </c>
      <c r="I114" s="2" t="s">
        <v>101</v>
      </c>
      <c r="J114" s="2" t="s">
        <v>101</v>
      </c>
      <c r="K114" s="2" t="s">
        <v>16</v>
      </c>
      <c r="L114" s="2">
        <v>1.8</v>
      </c>
      <c r="M114" s="2">
        <v>30</v>
      </c>
      <c r="N114" s="2">
        <v>0.45500000000000002</v>
      </c>
      <c r="O114" s="109">
        <v>7.583333333333333</v>
      </c>
      <c r="P114" s="2">
        <v>4.55</v>
      </c>
      <c r="Q114" s="2" t="s">
        <v>17</v>
      </c>
      <c r="R114" s="2" t="s">
        <v>39</v>
      </c>
      <c r="S114" s="2">
        <v>0.63571599999999995</v>
      </c>
      <c r="T114" s="2">
        <v>6.6389999999999999E-3</v>
      </c>
      <c r="U114" s="2">
        <v>99.55</v>
      </c>
      <c r="V114" s="2">
        <v>41736745</v>
      </c>
    </row>
    <row r="115" spans="1:22" x14ac:dyDescent="0.25">
      <c r="A115" s="2" t="s">
        <v>145</v>
      </c>
      <c r="B115" s="2" t="s">
        <v>145</v>
      </c>
      <c r="C115" s="2">
        <v>1</v>
      </c>
      <c r="D115" s="2">
        <v>4</v>
      </c>
      <c r="E115" s="2" t="s">
        <v>90</v>
      </c>
      <c r="F115" s="2" t="s">
        <v>206</v>
      </c>
      <c r="G115" s="2">
        <v>80</v>
      </c>
      <c r="H115" s="2" t="s">
        <v>20</v>
      </c>
      <c r="I115" s="2" t="s">
        <v>92</v>
      </c>
      <c r="J115" s="2" t="s">
        <v>92</v>
      </c>
      <c r="K115" s="2" t="s">
        <v>16</v>
      </c>
      <c r="L115" s="2">
        <v>1.7</v>
      </c>
      <c r="M115" s="2">
        <v>30</v>
      </c>
      <c r="N115" s="2">
        <v>0.19500000000000001</v>
      </c>
      <c r="O115" s="109">
        <v>3.4411764705882355</v>
      </c>
      <c r="P115" s="2">
        <v>3.5100000000000002</v>
      </c>
      <c r="Q115" s="2" t="s">
        <v>17</v>
      </c>
      <c r="R115" s="2" t="s">
        <v>39</v>
      </c>
      <c r="S115" s="2">
        <v>0.60749200000000003</v>
      </c>
      <c r="T115" s="2">
        <v>7.143E-3</v>
      </c>
      <c r="U115" s="2">
        <v>99.61</v>
      </c>
      <c r="V115" s="2">
        <v>39745304</v>
      </c>
    </row>
    <row r="116" spans="1:22" x14ac:dyDescent="0.25">
      <c r="A116" s="2" t="s">
        <v>146</v>
      </c>
      <c r="B116" s="2" t="s">
        <v>146</v>
      </c>
      <c r="C116" s="2" t="e">
        <v>#N/A</v>
      </c>
      <c r="D116" s="2" t="e">
        <v>#N/A</v>
      </c>
      <c r="E116" s="2" t="s">
        <v>142</v>
      </c>
      <c r="F116" s="2" t="s">
        <v>211</v>
      </c>
      <c r="G116" s="2">
        <v>56</v>
      </c>
      <c r="H116" s="2" t="s">
        <v>15</v>
      </c>
      <c r="I116" s="2" t="s">
        <v>212</v>
      </c>
      <c r="J116" s="2" t="s">
        <v>212</v>
      </c>
      <c r="K116" s="2" t="s">
        <v>16</v>
      </c>
      <c r="L116" s="2">
        <v>2</v>
      </c>
      <c r="M116" s="2">
        <v>30</v>
      </c>
      <c r="N116" s="2">
        <v>0.76100000000000001</v>
      </c>
      <c r="O116" s="109">
        <v>11.415000000000001</v>
      </c>
      <c r="P116" s="2">
        <v>4.5659999999999998</v>
      </c>
      <c r="Q116" s="2" t="s">
        <v>17</v>
      </c>
      <c r="R116" s="2" t="s">
        <v>42</v>
      </c>
      <c r="S116" s="2">
        <v>0.32270900000000002</v>
      </c>
      <c r="T116" s="2">
        <v>9.5890000000000003E-3</v>
      </c>
      <c r="U116" s="2">
        <v>99.57</v>
      </c>
      <c r="V116" s="2">
        <v>21225064</v>
      </c>
    </row>
    <row r="117" spans="1:22" x14ac:dyDescent="0.25">
      <c r="A117" s="2" t="s">
        <v>147</v>
      </c>
      <c r="B117" s="2" t="s">
        <v>147</v>
      </c>
      <c r="C117" s="2" t="e">
        <v>#N/A</v>
      </c>
      <c r="D117" s="2" t="e">
        <v>#N/A</v>
      </c>
      <c r="E117" s="2" t="s">
        <v>142</v>
      </c>
      <c r="F117" s="2" t="s">
        <v>211</v>
      </c>
      <c r="G117" s="2">
        <v>60</v>
      </c>
      <c r="H117" s="2" t="s">
        <v>20</v>
      </c>
      <c r="I117" s="2" t="s">
        <v>134</v>
      </c>
      <c r="J117" s="2" t="s">
        <v>207</v>
      </c>
      <c r="K117" s="2" t="s">
        <v>16</v>
      </c>
      <c r="L117" s="2">
        <v>2</v>
      </c>
      <c r="M117" s="2">
        <v>30</v>
      </c>
      <c r="N117" s="2">
        <v>0.34</v>
      </c>
      <c r="O117" s="109">
        <v>5.1000000000000005</v>
      </c>
      <c r="P117" s="2">
        <v>4.7600000000000007</v>
      </c>
      <c r="Q117" s="2" t="s">
        <v>17</v>
      </c>
      <c r="R117" s="2" t="s">
        <v>42</v>
      </c>
      <c r="S117" s="2">
        <v>0.28332800000000002</v>
      </c>
      <c r="T117" s="2">
        <v>9.9480000000000002E-3</v>
      </c>
      <c r="U117" s="2">
        <v>99.59</v>
      </c>
      <c r="V117" s="2">
        <v>18525353</v>
      </c>
    </row>
    <row r="118" spans="1:22" x14ac:dyDescent="0.25">
      <c r="A118" s="2" t="s">
        <v>148</v>
      </c>
      <c r="B118" s="2" t="s">
        <v>148</v>
      </c>
      <c r="C118" s="2" t="e">
        <v>#N/A</v>
      </c>
      <c r="D118" s="2" t="e">
        <v>#N/A</v>
      </c>
      <c r="E118" s="2" t="s">
        <v>466</v>
      </c>
      <c r="F118" s="2" t="s">
        <v>211</v>
      </c>
      <c r="G118" s="2">
        <v>60</v>
      </c>
      <c r="H118" s="2" t="s">
        <v>15</v>
      </c>
      <c r="I118" s="2" t="s">
        <v>88</v>
      </c>
      <c r="J118" s="2" t="s">
        <v>88</v>
      </c>
      <c r="K118" s="2" t="s">
        <v>16</v>
      </c>
      <c r="L118" s="2">
        <v>2</v>
      </c>
      <c r="M118" s="2">
        <v>30</v>
      </c>
      <c r="N118" s="2">
        <v>0.318</v>
      </c>
      <c r="O118" s="109">
        <v>4.7700000000000005</v>
      </c>
      <c r="P118" s="2">
        <v>4.7700000000000005</v>
      </c>
      <c r="Q118" s="2" t="s">
        <v>17</v>
      </c>
      <c r="R118" s="2" t="s">
        <v>42</v>
      </c>
      <c r="S118" s="2">
        <v>0.43343300000000001</v>
      </c>
      <c r="T118" s="2">
        <v>1.1305000000000001E-2</v>
      </c>
      <c r="U118" s="2">
        <v>99.55</v>
      </c>
      <c r="V118" s="2">
        <v>28644410</v>
      </c>
    </row>
    <row r="119" spans="1:22" x14ac:dyDescent="0.25">
      <c r="A119" s="2" t="s">
        <v>149</v>
      </c>
      <c r="B119" s="2" t="s">
        <v>149</v>
      </c>
      <c r="C119" s="2" t="e">
        <v>#N/A</v>
      </c>
      <c r="D119" s="2" t="e">
        <v>#N/A</v>
      </c>
      <c r="E119" s="2" t="s">
        <v>142</v>
      </c>
      <c r="F119" s="2" t="s">
        <v>211</v>
      </c>
      <c r="G119" s="2">
        <v>73</v>
      </c>
      <c r="H119" s="2" t="s">
        <v>15</v>
      </c>
      <c r="I119" s="2" t="s">
        <v>97</v>
      </c>
      <c r="J119" s="2" t="s">
        <v>208</v>
      </c>
      <c r="K119" s="2" t="s">
        <v>16</v>
      </c>
      <c r="L119" s="2">
        <v>2</v>
      </c>
      <c r="M119" s="2">
        <v>30</v>
      </c>
      <c r="N119" s="2">
        <v>0.64300000000000002</v>
      </c>
      <c r="O119" s="109">
        <v>9.6449999999999996</v>
      </c>
      <c r="P119" s="2">
        <v>4.5010000000000003</v>
      </c>
      <c r="Q119" s="2" t="s">
        <v>17</v>
      </c>
      <c r="R119" s="2" t="s">
        <v>42</v>
      </c>
      <c r="S119" s="2">
        <v>0.38611000000000001</v>
      </c>
      <c r="T119" s="2">
        <v>1.0076E-2</v>
      </c>
      <c r="U119" s="2">
        <v>99.57</v>
      </c>
      <c r="V119" s="2">
        <v>25429840</v>
      </c>
    </row>
    <row r="120" spans="1:22" x14ac:dyDescent="0.25">
      <c r="A120" s="2" t="s">
        <v>150</v>
      </c>
      <c r="B120" s="2" t="s">
        <v>150</v>
      </c>
      <c r="C120" s="2" t="e">
        <v>#N/A</v>
      </c>
      <c r="D120" s="2" t="e">
        <v>#N/A</v>
      </c>
      <c r="E120" s="2" t="s">
        <v>142</v>
      </c>
      <c r="F120" s="2" t="s">
        <v>211</v>
      </c>
      <c r="G120" s="2">
        <v>73</v>
      </c>
      <c r="H120" s="2" t="s">
        <v>20</v>
      </c>
      <c r="I120" s="2" t="s">
        <v>92</v>
      </c>
      <c r="J120" s="2" t="s">
        <v>92</v>
      </c>
      <c r="K120" s="2" t="s">
        <v>16</v>
      </c>
      <c r="L120" s="2">
        <v>2</v>
      </c>
      <c r="M120" s="2">
        <v>30</v>
      </c>
      <c r="N120" s="2">
        <v>0.60799999999999998</v>
      </c>
      <c r="O120" s="109">
        <v>9.1199999999999992</v>
      </c>
      <c r="P120" s="2">
        <v>4.8639999999999999</v>
      </c>
      <c r="Q120" s="2" t="s">
        <v>17</v>
      </c>
      <c r="R120" s="2" t="s">
        <v>42</v>
      </c>
      <c r="S120" s="2">
        <v>0.405524</v>
      </c>
      <c r="T120" s="2">
        <v>1.0456999999999999E-2</v>
      </c>
      <c r="U120" s="2">
        <v>99.6</v>
      </c>
      <c r="V120" s="2">
        <v>26613216</v>
      </c>
    </row>
    <row r="121" spans="1:22" x14ac:dyDescent="0.25">
      <c r="A121" s="2" t="s">
        <v>174</v>
      </c>
      <c r="B121" s="2" t="s">
        <v>174</v>
      </c>
      <c r="C121" s="2" t="e">
        <v>#N/A</v>
      </c>
      <c r="D121" s="2" t="e">
        <v>#N/A</v>
      </c>
      <c r="E121" s="2" t="s">
        <v>142</v>
      </c>
      <c r="F121" s="2" t="s">
        <v>211</v>
      </c>
      <c r="G121" s="2">
        <v>58</v>
      </c>
      <c r="H121" s="2" t="s">
        <v>15</v>
      </c>
      <c r="I121" s="2" t="s">
        <v>134</v>
      </c>
      <c r="J121" s="2" t="s">
        <v>207</v>
      </c>
      <c r="K121" s="2" t="s">
        <v>16</v>
      </c>
      <c r="L121" s="2">
        <v>1.9</v>
      </c>
      <c r="M121" s="2">
        <v>30</v>
      </c>
      <c r="N121" s="2">
        <v>0.69399999999999995</v>
      </c>
      <c r="O121" s="109">
        <v>10.957894736842105</v>
      </c>
      <c r="P121" s="2">
        <v>4.8579999999999997</v>
      </c>
      <c r="Q121" s="2" t="s">
        <v>17</v>
      </c>
      <c r="R121" s="2" t="s">
        <v>204</v>
      </c>
      <c r="S121" s="2">
        <v>0.57683799999999996</v>
      </c>
      <c r="T121" s="2">
        <v>6.1529999999999996E-3</v>
      </c>
      <c r="U121" s="2">
        <v>99.63</v>
      </c>
      <c r="V121" s="2">
        <v>37551017</v>
      </c>
    </row>
    <row r="122" spans="1:22" x14ac:dyDescent="0.25">
      <c r="A122" s="2" t="s">
        <v>175</v>
      </c>
      <c r="B122" s="2" t="s">
        <v>175</v>
      </c>
      <c r="C122" s="2" t="e">
        <v>#N/A</v>
      </c>
      <c r="D122" s="2" t="e">
        <v>#N/A</v>
      </c>
      <c r="E122" s="2" t="s">
        <v>467</v>
      </c>
      <c r="F122" s="2" t="s">
        <v>211</v>
      </c>
      <c r="G122" s="2">
        <v>62</v>
      </c>
      <c r="H122" s="2" t="s">
        <v>15</v>
      </c>
      <c r="I122" s="2" t="s">
        <v>88</v>
      </c>
      <c r="J122" s="2" t="s">
        <v>88</v>
      </c>
      <c r="K122" s="2" t="s">
        <v>16</v>
      </c>
      <c r="L122" s="2">
        <v>1.8</v>
      </c>
      <c r="M122" s="2">
        <v>30</v>
      </c>
      <c r="N122" s="2">
        <v>0.76100000000000001</v>
      </c>
      <c r="O122" s="109">
        <v>12.683333333333334</v>
      </c>
      <c r="P122" s="2">
        <v>5.327</v>
      </c>
      <c r="Q122" s="2" t="s">
        <v>17</v>
      </c>
      <c r="R122" s="2" t="s">
        <v>204</v>
      </c>
      <c r="S122" s="2">
        <v>0.52432299999999998</v>
      </c>
      <c r="T122" s="2">
        <v>6.2750000000000002E-3</v>
      </c>
      <c r="U122" s="2">
        <v>99.56</v>
      </c>
      <c r="V122" s="2">
        <v>34446320</v>
      </c>
    </row>
    <row r="123" spans="1:22" x14ac:dyDescent="0.25">
      <c r="A123" s="2" t="s">
        <v>151</v>
      </c>
      <c r="B123" s="2" t="s">
        <v>151</v>
      </c>
      <c r="C123" s="2" t="e">
        <v>#N/A</v>
      </c>
      <c r="D123" s="2" t="e">
        <v>#N/A</v>
      </c>
      <c r="E123" s="2" t="s">
        <v>142</v>
      </c>
      <c r="F123" s="2" t="s">
        <v>211</v>
      </c>
      <c r="G123" s="2">
        <v>60</v>
      </c>
      <c r="H123" s="2" t="s">
        <v>15</v>
      </c>
      <c r="I123" s="2" t="s">
        <v>101</v>
      </c>
      <c r="J123" s="2" t="s">
        <v>101</v>
      </c>
      <c r="K123" s="2" t="s">
        <v>16</v>
      </c>
      <c r="L123" s="2">
        <v>2</v>
      </c>
      <c r="M123" s="2">
        <v>30</v>
      </c>
      <c r="N123" s="2">
        <v>0.67500000000000004</v>
      </c>
      <c r="O123" s="109">
        <v>10.125</v>
      </c>
      <c r="P123" s="2">
        <v>4.7250000000000005</v>
      </c>
      <c r="Q123" s="2" t="s">
        <v>17</v>
      </c>
      <c r="R123" s="2" t="s">
        <v>42</v>
      </c>
      <c r="S123" s="2">
        <v>0.31908900000000001</v>
      </c>
      <c r="T123" s="2">
        <v>1.0544E-2</v>
      </c>
      <c r="U123" s="2">
        <v>99.55</v>
      </c>
      <c r="V123" s="2">
        <v>21094584</v>
      </c>
    </row>
    <row r="124" spans="1:22" x14ac:dyDescent="0.25">
      <c r="A124" s="2" t="s">
        <v>152</v>
      </c>
      <c r="B124" s="2" t="s">
        <v>152</v>
      </c>
      <c r="C124" s="2" t="e">
        <v>#N/A</v>
      </c>
      <c r="D124" s="2" t="e">
        <v>#N/A</v>
      </c>
      <c r="E124" s="2" t="s">
        <v>468</v>
      </c>
      <c r="F124" s="2" t="s">
        <v>211</v>
      </c>
      <c r="G124" s="2">
        <v>46</v>
      </c>
      <c r="H124" s="2" t="s">
        <v>20</v>
      </c>
      <c r="I124" s="2" t="s">
        <v>88</v>
      </c>
      <c r="J124" s="2" t="s">
        <v>88</v>
      </c>
      <c r="K124" s="2" t="s">
        <v>16</v>
      </c>
      <c r="L124" s="2">
        <v>2</v>
      </c>
      <c r="M124" s="2">
        <v>30</v>
      </c>
      <c r="N124" s="2">
        <v>0.53500000000000003</v>
      </c>
      <c r="O124" s="109">
        <v>8.0250000000000004</v>
      </c>
      <c r="P124" s="2">
        <v>4.8150000000000004</v>
      </c>
      <c r="Q124" s="2" t="s">
        <v>17</v>
      </c>
      <c r="R124" s="2" t="s">
        <v>42</v>
      </c>
      <c r="S124" s="2">
        <v>0.30804599999999999</v>
      </c>
      <c r="T124" s="2">
        <v>9.1520000000000004E-3</v>
      </c>
      <c r="U124" s="2">
        <v>99.58</v>
      </c>
      <c r="V124" s="2">
        <v>20203126</v>
      </c>
    </row>
    <row r="125" spans="1:22" x14ac:dyDescent="0.25">
      <c r="A125" s="2" t="s">
        <v>153</v>
      </c>
      <c r="B125" s="2" t="s">
        <v>153</v>
      </c>
      <c r="C125" s="2">
        <v>1</v>
      </c>
      <c r="D125" s="2">
        <v>4</v>
      </c>
      <c r="E125" s="2" t="s">
        <v>90</v>
      </c>
      <c r="F125" s="2" t="s">
        <v>206</v>
      </c>
      <c r="G125" s="2">
        <v>63</v>
      </c>
      <c r="H125" s="2" t="s">
        <v>20</v>
      </c>
      <c r="I125" s="2" t="s">
        <v>101</v>
      </c>
      <c r="J125" s="2" t="s">
        <v>101</v>
      </c>
      <c r="K125" s="2" t="s">
        <v>16</v>
      </c>
      <c r="L125" s="2">
        <v>1.7</v>
      </c>
      <c r="M125" s="2">
        <v>30</v>
      </c>
      <c r="N125" s="2">
        <v>0.309</v>
      </c>
      <c r="O125" s="109">
        <v>5.4529411764705884</v>
      </c>
      <c r="P125" s="2">
        <v>4.944</v>
      </c>
      <c r="Q125" s="2" t="s">
        <v>17</v>
      </c>
      <c r="R125" s="2" t="s">
        <v>54</v>
      </c>
      <c r="S125" s="2">
        <v>0.49510799999999999</v>
      </c>
      <c r="T125" s="2">
        <v>6.0340000000000003E-3</v>
      </c>
      <c r="U125" s="2">
        <v>99.63</v>
      </c>
      <c r="V125" s="2">
        <v>32498209</v>
      </c>
    </row>
    <row r="126" spans="1:22" x14ac:dyDescent="0.25">
      <c r="A126" s="2" t="s">
        <v>154</v>
      </c>
      <c r="B126" s="2" t="s">
        <v>154</v>
      </c>
      <c r="C126" s="2">
        <v>1</v>
      </c>
      <c r="D126" s="2">
        <v>4</v>
      </c>
      <c r="E126" s="2" t="s">
        <v>90</v>
      </c>
      <c r="F126" s="2" t="s">
        <v>206</v>
      </c>
      <c r="G126" s="2">
        <v>63</v>
      </c>
      <c r="H126" s="2" t="s">
        <v>15</v>
      </c>
      <c r="I126" s="2" t="s">
        <v>97</v>
      </c>
      <c r="J126" s="2" t="s">
        <v>208</v>
      </c>
      <c r="K126" s="2" t="s">
        <v>16</v>
      </c>
      <c r="L126" s="2">
        <v>2</v>
      </c>
      <c r="M126" s="2">
        <v>30</v>
      </c>
      <c r="N126" s="2">
        <v>0.49199999999999999</v>
      </c>
      <c r="O126" s="109">
        <v>7.38</v>
      </c>
      <c r="P126" s="2">
        <v>4.92</v>
      </c>
      <c r="Q126" s="2" t="s">
        <v>17</v>
      </c>
      <c r="R126" s="2" t="s">
        <v>54</v>
      </c>
      <c r="S126" s="2">
        <v>0.45922299999999999</v>
      </c>
      <c r="T126" s="2">
        <v>5.208E-3</v>
      </c>
      <c r="U126" s="2">
        <v>99.62</v>
      </c>
      <c r="V126" s="2">
        <v>30034015</v>
      </c>
    </row>
    <row r="127" spans="1:22" x14ac:dyDescent="0.25">
      <c r="A127" s="2" t="s">
        <v>155</v>
      </c>
      <c r="B127" s="2" t="s">
        <v>155</v>
      </c>
      <c r="C127" s="2" t="e">
        <v>#N/A</v>
      </c>
      <c r="D127" s="2" t="e">
        <v>#N/A</v>
      </c>
      <c r="E127" s="2" t="s">
        <v>142</v>
      </c>
      <c r="F127" s="2" t="s">
        <v>211</v>
      </c>
      <c r="G127" s="2">
        <v>60</v>
      </c>
      <c r="H127" s="2" t="s">
        <v>20</v>
      </c>
      <c r="I127" s="2" t="s">
        <v>92</v>
      </c>
      <c r="J127" s="2" t="s">
        <v>92</v>
      </c>
      <c r="K127" s="2" t="s">
        <v>16</v>
      </c>
      <c r="L127" s="2">
        <v>1.4</v>
      </c>
      <c r="M127" s="2">
        <v>30</v>
      </c>
      <c r="N127" s="2">
        <v>1.2</v>
      </c>
      <c r="O127" s="109">
        <v>25.714285714285715</v>
      </c>
      <c r="P127" s="2">
        <v>4.8</v>
      </c>
      <c r="Q127" s="2" t="s">
        <v>17</v>
      </c>
      <c r="R127" s="2" t="s">
        <v>59</v>
      </c>
      <c r="S127" s="2">
        <v>0.47638000000000003</v>
      </c>
      <c r="T127" s="2">
        <v>7.4679999999999998E-3</v>
      </c>
      <c r="U127" s="2">
        <v>99.63</v>
      </c>
      <c r="V127" s="2">
        <v>31281857</v>
      </c>
    </row>
    <row r="128" spans="1:22" x14ac:dyDescent="0.25">
      <c r="A128" s="2" t="s">
        <v>156</v>
      </c>
      <c r="B128" s="2" t="s">
        <v>156</v>
      </c>
      <c r="C128" s="2" t="e">
        <v>#N/A</v>
      </c>
      <c r="D128" s="2" t="e">
        <v>#N/A</v>
      </c>
      <c r="E128" s="2" t="s">
        <v>142</v>
      </c>
      <c r="F128" s="2" t="s">
        <v>211</v>
      </c>
      <c r="G128" s="2">
        <v>73</v>
      </c>
      <c r="H128" s="2" t="s">
        <v>20</v>
      </c>
      <c r="I128" s="2" t="s">
        <v>111</v>
      </c>
      <c r="J128" s="2" t="s">
        <v>111</v>
      </c>
      <c r="K128" s="2" t="s">
        <v>16</v>
      </c>
      <c r="L128" s="2">
        <v>2</v>
      </c>
      <c r="M128" s="2">
        <v>30</v>
      </c>
      <c r="N128" s="2">
        <v>0.27300000000000002</v>
      </c>
      <c r="O128" s="109">
        <v>4.0950000000000006</v>
      </c>
      <c r="P128" s="2">
        <v>4.9140000000000006</v>
      </c>
      <c r="Q128" s="2" t="s">
        <v>17</v>
      </c>
      <c r="R128" s="2" t="s">
        <v>59</v>
      </c>
      <c r="S128" s="2">
        <v>0.40826699999999999</v>
      </c>
      <c r="T128" s="2">
        <v>6.8129999999999996E-3</v>
      </c>
      <c r="U128" s="2">
        <v>99.63</v>
      </c>
      <c r="V128" s="2">
        <v>26736667</v>
      </c>
    </row>
    <row r="129" spans="1:22" x14ac:dyDescent="0.25">
      <c r="A129" s="2" t="s">
        <v>157</v>
      </c>
      <c r="B129" s="2" t="s">
        <v>157</v>
      </c>
      <c r="C129" s="2" t="e">
        <v>#N/A</v>
      </c>
      <c r="D129" s="2" t="e">
        <v>#N/A</v>
      </c>
      <c r="E129" s="2" t="s">
        <v>142</v>
      </c>
      <c r="F129" s="2" t="s">
        <v>211</v>
      </c>
      <c r="G129" s="2">
        <v>69</v>
      </c>
      <c r="H129" s="2" t="s">
        <v>15</v>
      </c>
      <c r="I129" s="2" t="s">
        <v>111</v>
      </c>
      <c r="J129" s="2" t="s">
        <v>111</v>
      </c>
      <c r="K129" s="2" t="s">
        <v>16</v>
      </c>
      <c r="L129" s="2">
        <v>1.7</v>
      </c>
      <c r="M129" s="2">
        <v>30</v>
      </c>
      <c r="N129" s="2">
        <v>0.7</v>
      </c>
      <c r="O129" s="109">
        <v>12.352941176470589</v>
      </c>
      <c r="P129" s="2">
        <v>4.8999999999999995</v>
      </c>
      <c r="Q129" s="2" t="s">
        <v>17</v>
      </c>
      <c r="R129" s="2" t="s">
        <v>59</v>
      </c>
      <c r="S129" s="2">
        <v>0.54566899999999996</v>
      </c>
      <c r="T129" s="2">
        <v>8.2150000000000001E-3</v>
      </c>
      <c r="U129" s="2">
        <v>99.52</v>
      </c>
      <c r="V129" s="2">
        <v>35997532</v>
      </c>
    </row>
    <row r="130" spans="1:22" x14ac:dyDescent="0.25">
      <c r="A130" s="2" t="s">
        <v>158</v>
      </c>
      <c r="B130" s="2" t="s">
        <v>158</v>
      </c>
      <c r="C130" s="2" t="e">
        <v>#N/A</v>
      </c>
      <c r="D130" s="2" t="e">
        <v>#N/A</v>
      </c>
      <c r="E130" s="2" t="s">
        <v>142</v>
      </c>
      <c r="F130" s="2" t="s">
        <v>211</v>
      </c>
      <c r="G130" s="2">
        <v>69</v>
      </c>
      <c r="H130" s="2" t="s">
        <v>15</v>
      </c>
      <c r="I130" s="2" t="s">
        <v>111</v>
      </c>
      <c r="J130" s="2" t="s">
        <v>111</v>
      </c>
      <c r="K130" s="2" t="s">
        <v>16</v>
      </c>
      <c r="L130" s="2">
        <v>2</v>
      </c>
      <c r="M130" s="2">
        <v>30</v>
      </c>
      <c r="N130" s="2">
        <v>1.58</v>
      </c>
      <c r="O130" s="109">
        <v>23.700000000000003</v>
      </c>
      <c r="P130" s="2">
        <v>4.74</v>
      </c>
      <c r="Q130" s="2" t="s">
        <v>17</v>
      </c>
      <c r="R130" s="2" t="s">
        <v>59</v>
      </c>
      <c r="S130" s="2">
        <v>0.54006500000000002</v>
      </c>
      <c r="T130" s="2">
        <v>7.8250000000000004E-3</v>
      </c>
      <c r="U130" s="2">
        <v>99.61</v>
      </c>
      <c r="V130" s="2">
        <v>35504412</v>
      </c>
    </row>
    <row r="131" spans="1:22" x14ac:dyDescent="0.25">
      <c r="A131" s="2" t="s">
        <v>159</v>
      </c>
      <c r="B131" s="2" t="s">
        <v>159</v>
      </c>
      <c r="C131" s="2" t="e">
        <v>#N/A</v>
      </c>
      <c r="D131" s="2" t="e">
        <v>#N/A</v>
      </c>
      <c r="E131" s="2" t="s">
        <v>142</v>
      </c>
      <c r="F131" s="2" t="s">
        <v>211</v>
      </c>
      <c r="G131" s="2">
        <v>71</v>
      </c>
      <c r="H131" s="2" t="s">
        <v>20</v>
      </c>
      <c r="I131" s="2" t="s">
        <v>99</v>
      </c>
      <c r="J131" s="2" t="s">
        <v>208</v>
      </c>
      <c r="K131" s="2" t="s">
        <v>16</v>
      </c>
      <c r="L131" s="2">
        <v>2</v>
      </c>
      <c r="M131" s="2">
        <v>30</v>
      </c>
      <c r="N131" s="2">
        <v>0.58299999999999996</v>
      </c>
      <c r="O131" s="109">
        <v>8.7449999999999992</v>
      </c>
      <c r="P131" s="2">
        <v>4.9554999999999998</v>
      </c>
      <c r="Q131" s="2" t="s">
        <v>17</v>
      </c>
      <c r="R131" s="2" t="s">
        <v>59</v>
      </c>
      <c r="S131" s="2">
        <v>0.60762300000000002</v>
      </c>
      <c r="T131" s="2">
        <v>7.2659999999999999E-3</v>
      </c>
      <c r="U131" s="2">
        <v>99.63</v>
      </c>
      <c r="V131" s="2">
        <v>39854931</v>
      </c>
    </row>
    <row r="132" spans="1:22" x14ac:dyDescent="0.25">
      <c r="A132" s="2" t="s">
        <v>160</v>
      </c>
      <c r="B132" s="2" t="s">
        <v>160</v>
      </c>
      <c r="C132" s="2">
        <v>1</v>
      </c>
      <c r="D132" s="2">
        <v>4</v>
      </c>
      <c r="E132" s="2" t="s">
        <v>90</v>
      </c>
      <c r="F132" s="2" t="s">
        <v>206</v>
      </c>
      <c r="G132" s="2">
        <v>71</v>
      </c>
      <c r="H132" s="2" t="s">
        <v>20</v>
      </c>
      <c r="I132" s="2" t="s">
        <v>95</v>
      </c>
      <c r="J132" s="2" t="s">
        <v>207</v>
      </c>
      <c r="K132" s="2" t="s">
        <v>16</v>
      </c>
      <c r="L132" s="2">
        <v>2</v>
      </c>
      <c r="M132" s="2">
        <v>30</v>
      </c>
      <c r="N132" s="2">
        <v>0.48099999999999998</v>
      </c>
      <c r="O132" s="109">
        <v>7.2149999999999999</v>
      </c>
      <c r="P132" s="2">
        <v>4.8099999999999996</v>
      </c>
      <c r="Q132" s="2" t="s">
        <v>17</v>
      </c>
      <c r="R132" s="2" t="s">
        <v>59</v>
      </c>
      <c r="S132" s="2">
        <v>0.51092400000000004</v>
      </c>
      <c r="T132" s="2">
        <v>7.4660000000000004E-3</v>
      </c>
      <c r="U132" s="2">
        <v>99.63</v>
      </c>
      <c r="V132" s="2">
        <v>33407014</v>
      </c>
    </row>
    <row r="133" spans="1:22" x14ac:dyDescent="0.25">
      <c r="A133" s="2" t="s">
        <v>161</v>
      </c>
      <c r="B133" s="2" t="s">
        <v>161</v>
      </c>
      <c r="C133" s="2" t="e">
        <v>#N/A</v>
      </c>
      <c r="D133" s="2" t="e">
        <v>#N/A</v>
      </c>
      <c r="E133" s="2" t="s">
        <v>142</v>
      </c>
      <c r="F133" s="2" t="s">
        <v>211</v>
      </c>
      <c r="G133" s="2">
        <v>55</v>
      </c>
      <c r="H133" s="2" t="s">
        <v>20</v>
      </c>
      <c r="I133" s="2" t="s">
        <v>111</v>
      </c>
      <c r="J133" s="2" t="s">
        <v>111</v>
      </c>
      <c r="K133" s="2" t="s">
        <v>16</v>
      </c>
      <c r="L133" s="2">
        <v>2</v>
      </c>
      <c r="M133" s="2">
        <v>30</v>
      </c>
      <c r="N133" s="2">
        <v>0.46300000000000002</v>
      </c>
      <c r="O133" s="109">
        <v>6.9450000000000003</v>
      </c>
      <c r="P133" s="2">
        <v>5.093</v>
      </c>
      <c r="Q133" s="2" t="s">
        <v>17</v>
      </c>
      <c r="R133" s="2" t="s">
        <v>68</v>
      </c>
      <c r="S133" s="2">
        <v>0.60273100000000002</v>
      </c>
      <c r="T133" s="2">
        <v>8.7639999999999992E-3</v>
      </c>
      <c r="U133" s="2">
        <v>99.61</v>
      </c>
      <c r="V133" s="2">
        <v>39667626</v>
      </c>
    </row>
    <row r="134" spans="1:22" x14ac:dyDescent="0.25">
      <c r="A134" s="2" t="s">
        <v>162</v>
      </c>
      <c r="B134" s="2" t="s">
        <v>162</v>
      </c>
      <c r="C134" s="2" t="e">
        <v>#N/A</v>
      </c>
      <c r="D134" s="2" t="e">
        <v>#N/A</v>
      </c>
      <c r="E134" s="2" t="s">
        <v>142</v>
      </c>
      <c r="F134" s="2" t="s">
        <v>211</v>
      </c>
      <c r="G134" s="2">
        <v>57</v>
      </c>
      <c r="H134" s="2" t="s">
        <v>20</v>
      </c>
      <c r="I134" s="2" t="s">
        <v>134</v>
      </c>
      <c r="J134" s="2" t="s">
        <v>207</v>
      </c>
      <c r="K134" s="2" t="s">
        <v>16</v>
      </c>
      <c r="L134" s="2">
        <v>2</v>
      </c>
      <c r="M134" s="2">
        <v>30</v>
      </c>
      <c r="N134" s="2">
        <v>0.95799999999999996</v>
      </c>
      <c r="O134" s="109">
        <v>14.37</v>
      </c>
      <c r="P134" s="2">
        <v>4.79</v>
      </c>
      <c r="Q134" s="2" t="s">
        <v>17</v>
      </c>
      <c r="R134" s="2" t="s">
        <v>68</v>
      </c>
      <c r="S134" s="2">
        <v>0.61257200000000001</v>
      </c>
      <c r="T134" s="2">
        <v>7.3850000000000001E-3</v>
      </c>
      <c r="U134" s="2">
        <v>99.6</v>
      </c>
      <c r="V134" s="2">
        <v>40123437</v>
      </c>
    </row>
    <row r="135" spans="1:22" x14ac:dyDescent="0.25">
      <c r="A135" s="2" t="s">
        <v>163</v>
      </c>
      <c r="B135" s="2" t="s">
        <v>163</v>
      </c>
      <c r="C135" s="2" t="e">
        <v>#N/A</v>
      </c>
      <c r="D135" s="2" t="e">
        <v>#N/A</v>
      </c>
      <c r="E135" s="2" t="s">
        <v>142</v>
      </c>
      <c r="F135" s="2" t="s">
        <v>211</v>
      </c>
      <c r="G135" s="2">
        <v>48</v>
      </c>
      <c r="H135" s="2" t="s">
        <v>15</v>
      </c>
      <c r="I135" s="2" t="s">
        <v>111</v>
      </c>
      <c r="J135" s="2" t="s">
        <v>111</v>
      </c>
      <c r="K135" s="2" t="s">
        <v>16</v>
      </c>
      <c r="L135" s="2">
        <v>1.5</v>
      </c>
      <c r="M135" s="2">
        <v>30</v>
      </c>
      <c r="N135" s="2">
        <v>0.33400000000000002</v>
      </c>
      <c r="O135" s="109">
        <v>6.6800000000000006</v>
      </c>
      <c r="P135" s="2">
        <v>4.843</v>
      </c>
      <c r="Q135" s="2" t="s">
        <v>17</v>
      </c>
      <c r="R135" s="2" t="s">
        <v>68</v>
      </c>
      <c r="S135" s="2">
        <v>0.53248499999999999</v>
      </c>
      <c r="T135" s="2">
        <v>7.8799999999999999E-3</v>
      </c>
      <c r="U135" s="2">
        <v>99.55</v>
      </c>
      <c r="V135" s="2">
        <v>35152313</v>
      </c>
    </row>
    <row r="136" spans="1:22" x14ac:dyDescent="0.25">
      <c r="A136" s="2" t="s">
        <v>164</v>
      </c>
      <c r="B136" s="2" t="s">
        <v>164</v>
      </c>
      <c r="C136" s="2" t="e">
        <v>#N/A</v>
      </c>
      <c r="D136" s="2" t="e">
        <v>#N/A</v>
      </c>
      <c r="E136" s="2" t="s">
        <v>142</v>
      </c>
      <c r="F136" s="2" t="s">
        <v>211</v>
      </c>
      <c r="G136" s="2">
        <v>82</v>
      </c>
      <c r="H136" s="2" t="s">
        <v>20</v>
      </c>
      <c r="I136" s="2" t="s">
        <v>92</v>
      </c>
      <c r="J136" s="2" t="s">
        <v>92</v>
      </c>
      <c r="K136" s="2" t="s">
        <v>16</v>
      </c>
      <c r="L136" s="2">
        <v>1.6</v>
      </c>
      <c r="M136" s="2">
        <v>30</v>
      </c>
      <c r="N136" s="2">
        <v>0.999</v>
      </c>
      <c r="O136" s="109">
        <v>18.731249999999999</v>
      </c>
      <c r="P136" s="2">
        <v>4.9950000000000001</v>
      </c>
      <c r="Q136" s="2" t="s">
        <v>17</v>
      </c>
      <c r="R136" s="2" t="s">
        <v>68</v>
      </c>
      <c r="S136" s="2">
        <v>0.61494300000000002</v>
      </c>
      <c r="T136" s="2">
        <v>7.5209999999999999E-3</v>
      </c>
      <c r="U136" s="2">
        <v>99.62</v>
      </c>
      <c r="V136" s="2">
        <v>40334985</v>
      </c>
    </row>
    <row r="137" spans="1:22" x14ac:dyDescent="0.25">
      <c r="A137" s="2" t="s">
        <v>165</v>
      </c>
      <c r="B137" s="2" t="s">
        <v>165</v>
      </c>
      <c r="C137" s="2" t="e">
        <v>#N/A</v>
      </c>
      <c r="D137" s="2" t="e">
        <v>#N/A</v>
      </c>
      <c r="E137" s="2" t="s">
        <v>142</v>
      </c>
      <c r="F137" s="2" t="s">
        <v>211</v>
      </c>
      <c r="G137" s="2">
        <v>58</v>
      </c>
      <c r="H137" s="2" t="s">
        <v>15</v>
      </c>
      <c r="I137" s="2" t="s">
        <v>111</v>
      </c>
      <c r="J137" s="2" t="s">
        <v>111</v>
      </c>
      <c r="K137" s="2" t="s">
        <v>16</v>
      </c>
      <c r="L137" s="2">
        <v>2</v>
      </c>
      <c r="M137" s="2">
        <v>30</v>
      </c>
      <c r="N137" s="2">
        <v>0.67800000000000005</v>
      </c>
      <c r="O137" s="109">
        <v>10.17</v>
      </c>
      <c r="P137" s="2">
        <v>4.7460000000000004</v>
      </c>
      <c r="Q137" s="2" t="s">
        <v>17</v>
      </c>
      <c r="R137" s="2" t="s">
        <v>68</v>
      </c>
      <c r="S137" s="2">
        <v>0.50862499999999999</v>
      </c>
      <c r="T137" s="2">
        <v>6.8120000000000003E-3</v>
      </c>
      <c r="U137" s="2">
        <v>99.54</v>
      </c>
      <c r="V137" s="2">
        <v>33549680</v>
      </c>
    </row>
    <row r="138" spans="1:22" x14ac:dyDescent="0.25">
      <c r="A138" s="2" t="s">
        <v>166</v>
      </c>
      <c r="B138" s="2" t="s">
        <v>166</v>
      </c>
      <c r="C138" s="2" t="e">
        <v>#N/A</v>
      </c>
      <c r="D138" s="2" t="e">
        <v>#N/A</v>
      </c>
      <c r="E138" s="2" t="s">
        <v>142</v>
      </c>
      <c r="F138" s="2" t="s">
        <v>211</v>
      </c>
      <c r="G138" s="2">
        <v>67</v>
      </c>
      <c r="H138" s="2" t="s">
        <v>15</v>
      </c>
      <c r="I138" s="2" t="s">
        <v>97</v>
      </c>
      <c r="J138" s="2" t="s">
        <v>208</v>
      </c>
      <c r="K138" s="2" t="s">
        <v>16</v>
      </c>
      <c r="L138" s="2">
        <v>2</v>
      </c>
      <c r="M138" s="2">
        <v>30</v>
      </c>
      <c r="N138" s="2">
        <v>0.33300000000000002</v>
      </c>
      <c r="O138" s="109">
        <v>4.9950000000000001</v>
      </c>
      <c r="P138" s="2">
        <v>4.9950000000000001</v>
      </c>
      <c r="Q138" s="2" t="s">
        <v>17</v>
      </c>
      <c r="R138" s="2" t="s">
        <v>68</v>
      </c>
      <c r="S138" s="2">
        <v>0.51184200000000002</v>
      </c>
      <c r="T138" s="2">
        <v>7.1789999999999996E-3</v>
      </c>
      <c r="U138" s="2">
        <v>99.44</v>
      </c>
      <c r="V138" s="2">
        <v>33875091</v>
      </c>
    </row>
    <row r="139" spans="1:22" x14ac:dyDescent="0.25">
      <c r="A139" s="2" t="s">
        <v>167</v>
      </c>
      <c r="B139" s="2" t="s">
        <v>167</v>
      </c>
      <c r="C139" s="2" t="e">
        <v>#N/A</v>
      </c>
      <c r="D139" s="2" t="e">
        <v>#N/A</v>
      </c>
      <c r="E139" s="2" t="s">
        <v>142</v>
      </c>
      <c r="F139" s="2" t="s">
        <v>211</v>
      </c>
      <c r="G139" s="2">
        <v>77</v>
      </c>
      <c r="H139" s="2" t="s">
        <v>15</v>
      </c>
      <c r="I139" s="2" t="s">
        <v>95</v>
      </c>
      <c r="J139" s="2" t="s">
        <v>207</v>
      </c>
      <c r="K139" s="2" t="s">
        <v>16</v>
      </c>
      <c r="L139" s="2">
        <v>1.4</v>
      </c>
      <c r="M139" s="2">
        <v>30</v>
      </c>
      <c r="N139" s="2">
        <v>0.51400000000000001</v>
      </c>
      <c r="O139" s="109">
        <v>11.014285714285714</v>
      </c>
      <c r="P139" s="2">
        <v>4.883</v>
      </c>
      <c r="Q139" s="2" t="s">
        <v>17</v>
      </c>
      <c r="R139" s="2" t="s">
        <v>68</v>
      </c>
      <c r="S139" s="2">
        <v>0.60075999999999996</v>
      </c>
      <c r="T139" s="2">
        <v>7.5729999999999999E-3</v>
      </c>
      <c r="U139" s="2">
        <v>99.46</v>
      </c>
      <c r="V139" s="2">
        <v>39742897</v>
      </c>
    </row>
    <row r="140" spans="1:22" x14ac:dyDescent="0.25">
      <c r="A140" s="2" t="s">
        <v>168</v>
      </c>
      <c r="B140" s="2" t="s">
        <v>168</v>
      </c>
      <c r="C140" s="2" t="e">
        <v>#N/A</v>
      </c>
      <c r="D140" s="2" t="e">
        <v>#N/A</v>
      </c>
      <c r="E140" s="2" t="s">
        <v>142</v>
      </c>
      <c r="F140" s="2" t="s">
        <v>211</v>
      </c>
      <c r="G140" s="2">
        <v>65</v>
      </c>
      <c r="H140" s="2" t="s">
        <v>15</v>
      </c>
      <c r="I140" s="2" t="s">
        <v>111</v>
      </c>
      <c r="J140" s="2" t="s">
        <v>111</v>
      </c>
      <c r="K140" s="2" t="s">
        <v>16</v>
      </c>
      <c r="L140" s="2">
        <v>2</v>
      </c>
      <c r="M140" s="2">
        <v>30</v>
      </c>
      <c r="N140" s="2">
        <v>0.59</v>
      </c>
      <c r="O140" s="109">
        <v>8.85</v>
      </c>
      <c r="P140" s="2">
        <v>4.72</v>
      </c>
      <c r="Q140" s="2" t="s">
        <v>17</v>
      </c>
      <c r="R140" s="2" t="s">
        <v>68</v>
      </c>
      <c r="S140" s="2">
        <v>0.49252699999999999</v>
      </c>
      <c r="T140" s="2">
        <v>6.9509999999999997E-3</v>
      </c>
      <c r="U140" s="2">
        <v>99.44</v>
      </c>
      <c r="V140" s="2">
        <v>32657652</v>
      </c>
    </row>
    <row r="141" spans="1:22" x14ac:dyDescent="0.25">
      <c r="A141" s="2" t="s">
        <v>169</v>
      </c>
      <c r="B141" s="2" t="s">
        <v>169</v>
      </c>
      <c r="C141" s="2" t="e">
        <v>#N/A</v>
      </c>
      <c r="D141" s="2" t="e">
        <v>#N/A</v>
      </c>
      <c r="E141" s="2" t="s">
        <v>142</v>
      </c>
      <c r="F141" s="2" t="s">
        <v>211</v>
      </c>
      <c r="G141" s="2">
        <v>43</v>
      </c>
      <c r="H141" s="2" t="s">
        <v>15</v>
      </c>
      <c r="I141" s="2" t="s">
        <v>99</v>
      </c>
      <c r="J141" s="2" t="s">
        <v>208</v>
      </c>
      <c r="K141" s="2" t="s">
        <v>16</v>
      </c>
      <c r="L141" s="2">
        <v>1.5</v>
      </c>
      <c r="M141" s="2">
        <v>30</v>
      </c>
      <c r="N141" s="2">
        <v>0.93400000000000005</v>
      </c>
      <c r="O141" s="109">
        <v>18.680000000000003</v>
      </c>
      <c r="P141" s="2">
        <v>5.1370000000000005</v>
      </c>
      <c r="Q141" s="2" t="s">
        <v>17</v>
      </c>
      <c r="R141" s="2" t="s">
        <v>68</v>
      </c>
      <c r="S141" s="2">
        <v>0.45321299999999998</v>
      </c>
      <c r="T141" s="2">
        <v>6.4209999999999996E-3</v>
      </c>
      <c r="U141" s="2">
        <v>99.57</v>
      </c>
      <c r="V141" s="2">
        <v>29913840</v>
      </c>
    </row>
    <row r="142" spans="1:22" x14ac:dyDescent="0.25">
      <c r="A142" s="2" t="s">
        <v>170</v>
      </c>
      <c r="B142" s="2" t="s">
        <v>170</v>
      </c>
      <c r="C142" s="2" t="e">
        <v>#N/A</v>
      </c>
      <c r="D142" s="2" t="e">
        <v>#N/A</v>
      </c>
      <c r="E142" s="2" t="s">
        <v>142</v>
      </c>
      <c r="F142" s="2" t="s">
        <v>211</v>
      </c>
      <c r="G142" s="2">
        <v>87</v>
      </c>
      <c r="H142" s="2" t="s">
        <v>20</v>
      </c>
      <c r="I142" s="2" t="s">
        <v>88</v>
      </c>
      <c r="J142" s="2" t="s">
        <v>88</v>
      </c>
      <c r="K142" s="2" t="s">
        <v>16</v>
      </c>
      <c r="L142" s="2">
        <v>2</v>
      </c>
      <c r="M142" s="2">
        <v>30</v>
      </c>
      <c r="N142" s="2">
        <v>0.35599999999999998</v>
      </c>
      <c r="O142" s="109">
        <v>5.34</v>
      </c>
      <c r="P142" s="2">
        <v>4.984</v>
      </c>
      <c r="Q142" s="2" t="s">
        <v>17</v>
      </c>
      <c r="R142" s="2" t="s">
        <v>68</v>
      </c>
      <c r="S142" s="2">
        <v>0.54608900000000005</v>
      </c>
      <c r="T142" s="2">
        <v>8.1670000000000006E-3</v>
      </c>
      <c r="U142" s="2">
        <v>99.53</v>
      </c>
      <c r="V142" s="2">
        <v>35774457</v>
      </c>
    </row>
    <row r="143" spans="1:22" x14ac:dyDescent="0.25">
      <c r="A143" s="2" t="s">
        <v>171</v>
      </c>
      <c r="B143" s="2" t="s">
        <v>171</v>
      </c>
      <c r="C143" s="2" t="e">
        <v>#N/A</v>
      </c>
      <c r="D143" s="2" t="e">
        <v>#N/A</v>
      </c>
      <c r="E143" s="2" t="s">
        <v>142</v>
      </c>
      <c r="F143" s="2" t="s">
        <v>211</v>
      </c>
      <c r="G143" s="2">
        <v>59</v>
      </c>
      <c r="H143" s="2" t="s">
        <v>20</v>
      </c>
      <c r="I143" s="2" t="s">
        <v>97</v>
      </c>
      <c r="J143" s="2" t="s">
        <v>208</v>
      </c>
      <c r="K143" s="2" t="s">
        <v>16</v>
      </c>
      <c r="L143" s="2">
        <v>1.5</v>
      </c>
      <c r="M143" s="2">
        <v>30</v>
      </c>
      <c r="N143" s="2">
        <v>0.73799999999999999</v>
      </c>
      <c r="O143" s="109">
        <v>14.76</v>
      </c>
      <c r="P143" s="2">
        <v>4.7969999999999997</v>
      </c>
      <c r="Q143" s="2" t="s">
        <v>17</v>
      </c>
      <c r="R143" s="2" t="s">
        <v>68</v>
      </c>
      <c r="S143" s="2">
        <v>0.78834800000000005</v>
      </c>
      <c r="T143" s="2">
        <v>8.7340000000000004E-3</v>
      </c>
      <c r="U143" s="2">
        <v>99.57</v>
      </c>
      <c r="V143" s="2">
        <v>51504324</v>
      </c>
    </row>
    <row r="144" spans="1:22" x14ac:dyDescent="0.25">
      <c r="A144" s="2" t="s">
        <v>172</v>
      </c>
      <c r="B144" s="2" t="s">
        <v>172</v>
      </c>
      <c r="C144" s="2" t="e">
        <v>#N/A</v>
      </c>
      <c r="D144" s="2" t="e">
        <v>#N/A</v>
      </c>
      <c r="E144" s="2" t="s">
        <v>142</v>
      </c>
      <c r="F144" s="2" t="s">
        <v>211</v>
      </c>
      <c r="G144" s="2">
        <v>60</v>
      </c>
      <c r="H144" s="2" t="s">
        <v>20</v>
      </c>
      <c r="I144" s="2" t="s">
        <v>111</v>
      </c>
      <c r="J144" s="2" t="s">
        <v>469</v>
      </c>
      <c r="K144" s="2" t="s">
        <v>16</v>
      </c>
      <c r="L144" s="2">
        <v>2</v>
      </c>
      <c r="M144" s="2">
        <v>30</v>
      </c>
      <c r="N144" s="2">
        <v>0.84899999999999998</v>
      </c>
      <c r="O144" s="109">
        <v>12.734999999999999</v>
      </c>
      <c r="P144" s="2">
        <v>5.0939999999999994</v>
      </c>
      <c r="Q144" s="2" t="s">
        <v>17</v>
      </c>
      <c r="R144" s="2" t="s">
        <v>68</v>
      </c>
      <c r="S144" s="2">
        <v>0.563855</v>
      </c>
      <c r="T144" s="2">
        <v>7.0140000000000003E-3</v>
      </c>
      <c r="U144" s="2">
        <v>99.59</v>
      </c>
      <c r="V144" s="2">
        <v>36896580</v>
      </c>
    </row>
    <row r="145" spans="1:22" x14ac:dyDescent="0.25">
      <c r="A145" s="2" t="s">
        <v>176</v>
      </c>
      <c r="B145" s="2" t="s">
        <v>176</v>
      </c>
      <c r="C145" s="2">
        <v>1</v>
      </c>
      <c r="D145" s="2">
        <v>401</v>
      </c>
      <c r="E145" s="2" t="s">
        <v>86</v>
      </c>
      <c r="F145" s="2" t="s">
        <v>211</v>
      </c>
      <c r="G145" s="2">
        <v>66</v>
      </c>
      <c r="H145" s="2" t="s">
        <v>15</v>
      </c>
      <c r="I145" s="2" t="s">
        <v>88</v>
      </c>
      <c r="J145" s="2" t="s">
        <v>88</v>
      </c>
      <c r="K145" s="2" t="s">
        <v>16</v>
      </c>
      <c r="L145" s="2">
        <v>2</v>
      </c>
      <c r="M145" s="2">
        <v>30</v>
      </c>
      <c r="N145" s="2">
        <v>0.39700000000000002</v>
      </c>
      <c r="O145" s="109">
        <v>5.9550000000000001</v>
      </c>
      <c r="P145" s="2">
        <v>4.9625000000000004</v>
      </c>
      <c r="Q145" s="2" t="s">
        <v>17</v>
      </c>
      <c r="R145" s="2" t="s">
        <v>204</v>
      </c>
      <c r="S145" s="2">
        <v>0.46098800000000001</v>
      </c>
      <c r="T145" s="2">
        <v>5.9940000000000002E-3</v>
      </c>
      <c r="U145" s="2">
        <v>99.54</v>
      </c>
      <c r="V145" s="2">
        <v>30384297</v>
      </c>
    </row>
    <row r="146" spans="1:22" x14ac:dyDescent="0.25">
      <c r="A146" s="2" t="s">
        <v>177</v>
      </c>
      <c r="B146" s="2" t="s">
        <v>177</v>
      </c>
      <c r="C146" s="2" t="e">
        <v>#N/A</v>
      </c>
      <c r="D146" s="2" t="e">
        <v>#N/A</v>
      </c>
      <c r="E146" s="2" t="s">
        <v>142</v>
      </c>
      <c r="F146" s="2" t="s">
        <v>211</v>
      </c>
      <c r="G146" s="2">
        <v>73</v>
      </c>
      <c r="H146" s="2" t="s">
        <v>15</v>
      </c>
      <c r="I146" s="2" t="s">
        <v>111</v>
      </c>
      <c r="J146" s="2" t="s">
        <v>469</v>
      </c>
      <c r="K146" s="2" t="s">
        <v>16</v>
      </c>
      <c r="L146" s="2">
        <v>1.5</v>
      </c>
      <c r="M146" s="2">
        <v>30</v>
      </c>
      <c r="N146" s="2">
        <v>0.70799999999999996</v>
      </c>
      <c r="O146" s="109">
        <v>14.159999999999998</v>
      </c>
      <c r="P146" s="2">
        <v>4.9559999999999995</v>
      </c>
      <c r="Q146" s="2" t="s">
        <v>17</v>
      </c>
      <c r="R146" s="2" t="s">
        <v>204</v>
      </c>
      <c r="S146" s="2">
        <v>0.49190400000000001</v>
      </c>
      <c r="T146" s="2">
        <v>6.509E-3</v>
      </c>
      <c r="U146" s="2">
        <v>99.57</v>
      </c>
      <c r="V146" s="2">
        <v>32201154</v>
      </c>
    </row>
    <row r="147" spans="1:22" x14ac:dyDescent="0.25">
      <c r="A147" s="2" t="s">
        <v>178</v>
      </c>
      <c r="B147" s="2" t="s">
        <v>178</v>
      </c>
      <c r="C147" s="2">
        <v>1</v>
      </c>
      <c r="D147" s="2">
        <v>4</v>
      </c>
      <c r="E147" s="2" t="s">
        <v>90</v>
      </c>
      <c r="F147" s="2" t="s">
        <v>211</v>
      </c>
      <c r="G147" s="2">
        <v>52</v>
      </c>
      <c r="H147" s="2" t="s">
        <v>15</v>
      </c>
      <c r="I147" s="2" t="s">
        <v>111</v>
      </c>
      <c r="J147" s="2" t="s">
        <v>469</v>
      </c>
      <c r="K147" s="2" t="s">
        <v>16</v>
      </c>
      <c r="L147" s="2">
        <v>2</v>
      </c>
      <c r="M147" s="2">
        <v>30</v>
      </c>
      <c r="N147" s="2">
        <v>0.34799999999999998</v>
      </c>
      <c r="O147" s="109">
        <v>5.22</v>
      </c>
      <c r="P147" s="2">
        <v>4.8719999999999999</v>
      </c>
      <c r="Q147" s="2" t="s">
        <v>17</v>
      </c>
      <c r="R147" s="2" t="s">
        <v>204</v>
      </c>
      <c r="S147" s="2">
        <v>0.43603599999999998</v>
      </c>
      <c r="T147" s="2">
        <v>5.921E-3</v>
      </c>
      <c r="U147" s="2">
        <v>99.52</v>
      </c>
      <c r="V147" s="2">
        <v>28763077</v>
      </c>
    </row>
    <row r="148" spans="1:22" x14ac:dyDescent="0.25">
      <c r="A148" s="2" t="s">
        <v>179</v>
      </c>
      <c r="B148" s="2" t="s">
        <v>179</v>
      </c>
      <c r="C148" s="2">
        <v>1</v>
      </c>
      <c r="D148" s="2">
        <v>4</v>
      </c>
      <c r="E148" s="2" t="s">
        <v>90</v>
      </c>
      <c r="F148" s="2" t="s">
        <v>211</v>
      </c>
      <c r="G148" s="2">
        <v>62</v>
      </c>
      <c r="H148" s="2" t="s">
        <v>20</v>
      </c>
      <c r="I148" s="2" t="s">
        <v>470</v>
      </c>
      <c r="J148" s="2" t="s">
        <v>470</v>
      </c>
      <c r="K148" s="2" t="s">
        <v>16</v>
      </c>
      <c r="L148" s="2">
        <v>1.5</v>
      </c>
      <c r="M148" s="2">
        <v>30</v>
      </c>
      <c r="N148" s="2">
        <v>0.47499999999999998</v>
      </c>
      <c r="O148" s="109">
        <v>9.5</v>
      </c>
      <c r="P148" s="2">
        <v>4.9874999999999998</v>
      </c>
      <c r="Q148" s="2" t="s">
        <v>17</v>
      </c>
      <c r="R148" s="2" t="s">
        <v>204</v>
      </c>
      <c r="S148" s="2">
        <v>0.51945399999999997</v>
      </c>
      <c r="T148" s="2">
        <v>6.1989999999999996E-3</v>
      </c>
      <c r="U148" s="2">
        <v>99.63</v>
      </c>
      <c r="V148" s="2">
        <v>33910941</v>
      </c>
    </row>
    <row r="149" spans="1:22" x14ac:dyDescent="0.25">
      <c r="A149" s="2" t="s">
        <v>180</v>
      </c>
      <c r="B149" s="2" t="s">
        <v>180</v>
      </c>
      <c r="C149" s="2" t="e">
        <v>#N/A</v>
      </c>
      <c r="D149" s="2" t="e">
        <v>#N/A</v>
      </c>
      <c r="E149" s="2" t="s">
        <v>142</v>
      </c>
      <c r="F149" s="2" t="s">
        <v>211</v>
      </c>
      <c r="G149" s="2">
        <v>76</v>
      </c>
      <c r="H149" s="2" t="s">
        <v>20</v>
      </c>
      <c r="I149" s="2" t="s">
        <v>95</v>
      </c>
      <c r="J149" s="2" t="s">
        <v>207</v>
      </c>
      <c r="K149" s="2" t="s">
        <v>16</v>
      </c>
      <c r="L149" s="2">
        <v>2</v>
      </c>
      <c r="M149" s="2">
        <v>30</v>
      </c>
      <c r="N149" s="2">
        <v>0.433</v>
      </c>
      <c r="O149" s="109">
        <v>6.4950000000000001</v>
      </c>
      <c r="P149" s="2">
        <v>4.9794999999999998</v>
      </c>
      <c r="Q149" s="2" t="s">
        <v>17</v>
      </c>
      <c r="R149" s="2" t="s">
        <v>205</v>
      </c>
      <c r="S149" s="2">
        <v>0.71499800000000002</v>
      </c>
      <c r="T149" s="2">
        <v>9.4280000000000006E-3</v>
      </c>
      <c r="U149" s="2">
        <v>99.62</v>
      </c>
      <c r="V149" s="2">
        <v>46958422</v>
      </c>
    </row>
    <row r="150" spans="1:22" x14ac:dyDescent="0.25">
      <c r="A150" s="2" t="s">
        <v>181</v>
      </c>
      <c r="B150" s="2" t="s">
        <v>181</v>
      </c>
      <c r="C150" s="2">
        <v>1</v>
      </c>
      <c r="D150" s="2">
        <v>4</v>
      </c>
      <c r="E150" s="2" t="s">
        <v>90</v>
      </c>
      <c r="F150" s="2" t="s">
        <v>211</v>
      </c>
      <c r="G150" s="2">
        <v>48</v>
      </c>
      <c r="H150" s="2" t="s">
        <v>20</v>
      </c>
      <c r="I150" s="2" t="s">
        <v>111</v>
      </c>
      <c r="J150" s="2" t="s">
        <v>469</v>
      </c>
      <c r="K150" s="2" t="s">
        <v>16</v>
      </c>
      <c r="L150" s="2">
        <v>1.7</v>
      </c>
      <c r="M150" s="2">
        <v>30</v>
      </c>
      <c r="N150" s="2">
        <v>0.35099999999999998</v>
      </c>
      <c r="O150" s="109">
        <v>6.1941176470588237</v>
      </c>
      <c r="P150" s="2">
        <v>4.9139999999999997</v>
      </c>
      <c r="Q150" s="2" t="s">
        <v>17</v>
      </c>
      <c r="R150" s="2" t="s">
        <v>205</v>
      </c>
      <c r="S150" s="2">
        <v>0.588646</v>
      </c>
      <c r="T150" s="2">
        <v>9.1719999999999996E-3</v>
      </c>
      <c r="U150" s="2">
        <v>99.62</v>
      </c>
      <c r="V150" s="2">
        <v>38443804</v>
      </c>
    </row>
    <row r="151" spans="1:22" x14ac:dyDescent="0.25">
      <c r="A151" s="2" t="s">
        <v>213</v>
      </c>
      <c r="B151" s="2" t="s">
        <v>213</v>
      </c>
      <c r="C151" s="2">
        <v>1</v>
      </c>
      <c r="D151" s="2">
        <v>4</v>
      </c>
      <c r="E151" s="2" t="s">
        <v>90</v>
      </c>
      <c r="F151" s="2" t="s">
        <v>211</v>
      </c>
      <c r="G151" s="2">
        <v>43</v>
      </c>
      <c r="H151" s="2" t="s">
        <v>15</v>
      </c>
      <c r="I151" s="2" t="s">
        <v>97</v>
      </c>
      <c r="J151" s="2" t="s">
        <v>208</v>
      </c>
      <c r="K151" s="2" t="s">
        <v>16</v>
      </c>
      <c r="L151" s="2">
        <v>2</v>
      </c>
      <c r="M151" s="2">
        <v>30</v>
      </c>
      <c r="N151" s="2">
        <v>0.83699999999999997</v>
      </c>
      <c r="O151" s="109">
        <v>12.555</v>
      </c>
      <c r="P151" s="2">
        <v>4.6035000000000004</v>
      </c>
      <c r="Q151" s="2" t="s">
        <v>17</v>
      </c>
      <c r="R151" s="2" t="s">
        <v>205</v>
      </c>
      <c r="S151" s="2">
        <v>0.55108100000000004</v>
      </c>
      <c r="T151" s="2">
        <v>8.4410000000000006E-3</v>
      </c>
      <c r="U151" s="2">
        <v>99.55</v>
      </c>
      <c r="V151" s="2">
        <v>36134325</v>
      </c>
    </row>
    <row r="152" spans="1:22" x14ac:dyDescent="0.25">
      <c r="A152" s="2" t="s">
        <v>399</v>
      </c>
      <c r="B152" s="2" t="s">
        <v>399</v>
      </c>
      <c r="C152" s="2">
        <v>1</v>
      </c>
      <c r="D152" s="2">
        <v>4</v>
      </c>
      <c r="E152" s="2" t="s">
        <v>90</v>
      </c>
      <c r="F152" s="2" t="s">
        <v>211</v>
      </c>
      <c r="G152" s="2">
        <v>75</v>
      </c>
      <c r="H152" s="2" t="s">
        <v>20</v>
      </c>
      <c r="I152" s="2" t="s">
        <v>97</v>
      </c>
      <c r="J152" s="2" t="s">
        <v>208</v>
      </c>
      <c r="K152" s="2" t="s">
        <v>16</v>
      </c>
      <c r="L152" s="2">
        <v>1.8</v>
      </c>
      <c r="M152" s="2">
        <v>30</v>
      </c>
      <c r="N152" s="2">
        <v>1.34</v>
      </c>
      <c r="O152" s="109">
        <v>22.333333333333336</v>
      </c>
      <c r="P152" s="2">
        <v>4.9752000000000001</v>
      </c>
      <c r="Q152" s="2" t="s">
        <v>17</v>
      </c>
      <c r="R152" s="2" t="s">
        <v>464</v>
      </c>
      <c r="S152" s="2">
        <v>0.42028900000000002</v>
      </c>
      <c r="T152" s="2">
        <v>8.4270000000000005E-3</v>
      </c>
      <c r="U152" s="2">
        <v>99.67</v>
      </c>
      <c r="V152" s="2">
        <v>27311567</v>
      </c>
    </row>
    <row r="153" spans="1:22" x14ac:dyDescent="0.25">
      <c r="A153" s="2" t="s">
        <v>401</v>
      </c>
      <c r="B153" s="2" t="s">
        <v>401</v>
      </c>
      <c r="C153" s="2">
        <v>1</v>
      </c>
      <c r="D153" s="2">
        <v>4</v>
      </c>
      <c r="E153" s="2" t="s">
        <v>90</v>
      </c>
      <c r="F153" s="2" t="s">
        <v>206</v>
      </c>
      <c r="G153" s="2">
        <v>40</v>
      </c>
      <c r="H153" s="2" t="s">
        <v>15</v>
      </c>
      <c r="I153" s="2" t="s">
        <v>134</v>
      </c>
      <c r="J153" s="2" t="s">
        <v>207</v>
      </c>
      <c r="K153" s="2" t="s">
        <v>16</v>
      </c>
      <c r="L153" s="2">
        <v>1.8</v>
      </c>
      <c r="M153" s="2">
        <v>30</v>
      </c>
      <c r="N153" s="2">
        <v>0.42799999999999999</v>
      </c>
      <c r="O153" s="109">
        <v>7.1333333333333329</v>
      </c>
      <c r="P153" s="2">
        <v>4.9219999999999997</v>
      </c>
      <c r="Q153" s="2" t="s">
        <v>17</v>
      </c>
      <c r="R153" s="2" t="s">
        <v>464</v>
      </c>
      <c r="S153" s="2">
        <v>0.47118199999999999</v>
      </c>
      <c r="T153" s="2">
        <v>6.7239999999999999E-3</v>
      </c>
      <c r="U153" s="2">
        <v>99.61</v>
      </c>
      <c r="V153" s="2">
        <v>30815759</v>
      </c>
    </row>
    <row r="154" spans="1:22" x14ac:dyDescent="0.25">
      <c r="A154" s="2" t="s">
        <v>403</v>
      </c>
      <c r="B154" s="2" t="s">
        <v>403</v>
      </c>
      <c r="C154" s="2">
        <v>1</v>
      </c>
      <c r="D154" s="2">
        <v>4</v>
      </c>
      <c r="E154" s="2" t="s">
        <v>90</v>
      </c>
      <c r="F154" s="2" t="s">
        <v>211</v>
      </c>
      <c r="G154" s="2">
        <v>75</v>
      </c>
      <c r="H154" s="2" t="s">
        <v>20</v>
      </c>
      <c r="I154" s="2" t="s">
        <v>99</v>
      </c>
      <c r="J154" s="2" t="s">
        <v>208</v>
      </c>
      <c r="K154" s="2" t="s">
        <v>16</v>
      </c>
      <c r="L154" s="2">
        <v>2</v>
      </c>
      <c r="M154" s="2">
        <v>30</v>
      </c>
      <c r="N154" s="2">
        <v>1.48</v>
      </c>
      <c r="O154" s="109">
        <v>22.2</v>
      </c>
      <c r="P154" s="2">
        <v>5.0296999999999992</v>
      </c>
      <c r="Q154" s="2" t="s">
        <v>17</v>
      </c>
      <c r="R154" s="2" t="s">
        <v>464</v>
      </c>
      <c r="S154" s="2">
        <v>0.49866199999999999</v>
      </c>
      <c r="T154" s="2">
        <v>6.3990000000000002E-3</v>
      </c>
      <c r="U154" s="2">
        <v>99.64</v>
      </c>
      <c r="V154" s="2">
        <v>32353860</v>
      </c>
    </row>
    <row r="155" spans="1:22" x14ac:dyDescent="0.25">
      <c r="A155" s="2" t="s">
        <v>405</v>
      </c>
      <c r="B155" s="2" t="s">
        <v>405</v>
      </c>
      <c r="C155" s="2">
        <v>1</v>
      </c>
      <c r="D155" s="2">
        <v>4</v>
      </c>
      <c r="E155" s="2" t="s">
        <v>90</v>
      </c>
      <c r="F155" s="2" t="s">
        <v>206</v>
      </c>
      <c r="G155" s="2">
        <v>75</v>
      </c>
      <c r="H155" s="2" t="s">
        <v>20</v>
      </c>
      <c r="I155" s="2" t="s">
        <v>134</v>
      </c>
      <c r="J155" s="2" t="s">
        <v>207</v>
      </c>
      <c r="K155" s="2" t="s">
        <v>16</v>
      </c>
      <c r="L155" s="2">
        <v>2</v>
      </c>
      <c r="M155" s="2">
        <v>30</v>
      </c>
      <c r="N155" s="2">
        <v>0.40100000000000002</v>
      </c>
      <c r="O155" s="109">
        <v>6.0150000000000006</v>
      </c>
      <c r="P155" s="2">
        <v>4.8120000000000003</v>
      </c>
      <c r="Q155" s="2" t="s">
        <v>17</v>
      </c>
      <c r="R155" s="2" t="s">
        <v>464</v>
      </c>
      <c r="S155" s="2">
        <v>0.50868100000000005</v>
      </c>
      <c r="T155" s="2">
        <v>8.7770000000000001E-3</v>
      </c>
      <c r="U155" s="2">
        <v>99.52</v>
      </c>
      <c r="V155" s="2">
        <v>33472641</v>
      </c>
    </row>
    <row r="156" spans="1:22" x14ac:dyDescent="0.25">
      <c r="A156" s="2" t="s">
        <v>407</v>
      </c>
      <c r="B156" s="2" t="s">
        <v>407</v>
      </c>
      <c r="C156" s="2" t="e">
        <v>#N/A</v>
      </c>
      <c r="D156" s="2" t="e">
        <v>#N/A</v>
      </c>
      <c r="E156" s="2" t="s">
        <v>462</v>
      </c>
      <c r="F156" s="2" t="s">
        <v>206</v>
      </c>
      <c r="G156" s="2">
        <v>69</v>
      </c>
      <c r="H156" s="2" t="s">
        <v>15</v>
      </c>
      <c r="I156" s="2" t="s">
        <v>88</v>
      </c>
      <c r="J156" s="2" t="s">
        <v>88</v>
      </c>
      <c r="K156" s="2" t="s">
        <v>16</v>
      </c>
      <c r="L156" s="2">
        <v>1.5</v>
      </c>
      <c r="M156" s="2">
        <v>30</v>
      </c>
      <c r="N156" s="2">
        <v>0.35299999999999998</v>
      </c>
      <c r="O156" s="109">
        <v>7.06</v>
      </c>
      <c r="P156" s="2">
        <v>4.9420000000000002</v>
      </c>
      <c r="Q156" s="2" t="s">
        <v>17</v>
      </c>
      <c r="R156" s="2" t="s">
        <v>464</v>
      </c>
      <c r="S156" s="2">
        <v>0.58130999999999999</v>
      </c>
      <c r="T156" s="2">
        <v>9.672E-3</v>
      </c>
      <c r="U156" s="2">
        <v>99.59</v>
      </c>
      <c r="V156" s="2">
        <v>38022559</v>
      </c>
    </row>
    <row r="157" spans="1:22" x14ac:dyDescent="0.25">
      <c r="A157" s="2" t="s">
        <v>409</v>
      </c>
      <c r="B157" s="2" t="s">
        <v>409</v>
      </c>
      <c r="C157" s="2">
        <v>1</v>
      </c>
      <c r="D157" s="2">
        <v>4</v>
      </c>
      <c r="E157" s="2" t="s">
        <v>90</v>
      </c>
      <c r="F157" s="2" t="s">
        <v>206</v>
      </c>
      <c r="G157" s="2">
        <v>65</v>
      </c>
      <c r="H157" s="2" t="s">
        <v>15</v>
      </c>
      <c r="I157" s="2" t="s">
        <v>92</v>
      </c>
      <c r="J157" s="2" t="s">
        <v>469</v>
      </c>
      <c r="K157" s="2" t="s">
        <v>16</v>
      </c>
      <c r="L157" s="2">
        <v>1.5</v>
      </c>
      <c r="M157" s="2">
        <v>30</v>
      </c>
      <c r="N157" s="2">
        <v>0.67500000000000004</v>
      </c>
      <c r="O157" s="109">
        <v>13.5</v>
      </c>
      <c r="P157" s="2">
        <v>4.7250000000000005</v>
      </c>
      <c r="Q157" s="2" t="s">
        <v>17</v>
      </c>
      <c r="R157" s="2" t="s">
        <v>464</v>
      </c>
      <c r="S157" s="2">
        <v>0.52534599999999998</v>
      </c>
      <c r="T157" s="2">
        <v>6.5100000000000002E-3</v>
      </c>
      <c r="U157" s="2">
        <v>99.54</v>
      </c>
      <c r="V157" s="2">
        <v>34371082</v>
      </c>
    </row>
    <row r="158" spans="1:22" x14ac:dyDescent="0.25">
      <c r="A158" s="2" t="s">
        <v>411</v>
      </c>
      <c r="B158" s="2" t="s">
        <v>411</v>
      </c>
      <c r="C158" s="2">
        <v>1</v>
      </c>
      <c r="D158" s="2">
        <v>4</v>
      </c>
      <c r="E158" s="2" t="s">
        <v>90</v>
      </c>
      <c r="F158" s="2" t="s">
        <v>206</v>
      </c>
      <c r="G158" s="2">
        <v>42</v>
      </c>
      <c r="H158" s="2" t="s">
        <v>20</v>
      </c>
      <c r="I158" s="2" t="s">
        <v>92</v>
      </c>
      <c r="J158" s="2" t="s">
        <v>469</v>
      </c>
      <c r="K158" s="2" t="s">
        <v>16</v>
      </c>
      <c r="L158" s="2">
        <v>1.9</v>
      </c>
      <c r="M158" s="2">
        <v>30</v>
      </c>
      <c r="N158" s="2">
        <v>0.47099999999999997</v>
      </c>
      <c r="O158" s="109">
        <v>7.4368421052631577</v>
      </c>
      <c r="P158" s="2">
        <v>4.9455</v>
      </c>
      <c r="Q158" s="2" t="s">
        <v>17</v>
      </c>
      <c r="R158" s="2" t="s">
        <v>464</v>
      </c>
      <c r="S158" s="2">
        <v>0.51420699999999997</v>
      </c>
      <c r="T158" s="2">
        <v>7.28E-3</v>
      </c>
      <c r="U158" s="2">
        <v>99.63</v>
      </c>
      <c r="V158" s="2">
        <v>33570570</v>
      </c>
    </row>
    <row r="159" spans="1:22" x14ac:dyDescent="0.25">
      <c r="A159" s="2" t="s">
        <v>413</v>
      </c>
      <c r="B159" s="2" t="s">
        <v>413</v>
      </c>
      <c r="C159" s="2">
        <v>1</v>
      </c>
      <c r="D159" s="2">
        <v>4</v>
      </c>
      <c r="E159" s="2" t="s">
        <v>90</v>
      </c>
      <c r="F159" s="2" t="s">
        <v>206</v>
      </c>
      <c r="G159" s="2">
        <v>68</v>
      </c>
      <c r="H159" s="2" t="s">
        <v>15</v>
      </c>
      <c r="I159" s="2" t="s">
        <v>95</v>
      </c>
      <c r="J159" s="2" t="s">
        <v>207</v>
      </c>
      <c r="K159" s="2" t="s">
        <v>16</v>
      </c>
      <c r="L159" s="2">
        <v>2</v>
      </c>
      <c r="M159" s="2">
        <v>30</v>
      </c>
      <c r="N159" s="2">
        <v>0.88119999999999998</v>
      </c>
      <c r="O159" s="109">
        <v>13.218</v>
      </c>
      <c r="P159" s="2">
        <v>4.8465999999999996</v>
      </c>
      <c r="Q159" s="2" t="s">
        <v>17</v>
      </c>
      <c r="R159" s="2" t="s">
        <v>464</v>
      </c>
      <c r="S159" s="2">
        <v>0.46837200000000001</v>
      </c>
      <c r="T159" s="2">
        <v>7.8560000000000001E-3</v>
      </c>
      <c r="U159" s="2">
        <v>99.53</v>
      </c>
      <c r="V159" s="2">
        <v>30819917</v>
      </c>
    </row>
    <row r="160" spans="1:22" x14ac:dyDescent="0.25">
      <c r="A160" s="2" t="s">
        <v>418</v>
      </c>
      <c r="B160" s="2" t="s">
        <v>418</v>
      </c>
      <c r="C160" s="2">
        <v>0</v>
      </c>
      <c r="D160" s="2">
        <v>400</v>
      </c>
      <c r="E160" s="2" t="s">
        <v>471</v>
      </c>
      <c r="F160" s="2" t="s">
        <v>211</v>
      </c>
      <c r="G160" s="2">
        <v>64</v>
      </c>
      <c r="H160" s="2" t="s">
        <v>20</v>
      </c>
      <c r="I160" s="2" t="s">
        <v>88</v>
      </c>
      <c r="J160" s="2" t="s">
        <v>88</v>
      </c>
      <c r="K160" s="2" t="s">
        <v>16</v>
      </c>
      <c r="L160" s="2">
        <v>2</v>
      </c>
      <c r="M160" s="2">
        <v>30</v>
      </c>
      <c r="N160" s="2">
        <v>1.1100000000000001</v>
      </c>
      <c r="O160" s="109">
        <v>16.650000000000002</v>
      </c>
      <c r="P160" s="2">
        <v>4.9950000000000001</v>
      </c>
      <c r="Q160" s="2" t="s">
        <v>17</v>
      </c>
      <c r="R160" s="2" t="s">
        <v>465</v>
      </c>
      <c r="S160" s="2">
        <v>0.48698200000000003</v>
      </c>
      <c r="T160" s="2">
        <v>7.7499999999999999E-3</v>
      </c>
      <c r="U160" s="2">
        <v>99.6</v>
      </c>
      <c r="V160" s="2">
        <v>31878473</v>
      </c>
    </row>
    <row r="161" spans="1:22" x14ac:dyDescent="0.25">
      <c r="A161" s="2" t="s">
        <v>420</v>
      </c>
      <c r="B161" s="2" t="s">
        <v>420</v>
      </c>
      <c r="C161" s="2">
        <v>1</v>
      </c>
      <c r="D161" s="2">
        <v>4</v>
      </c>
      <c r="E161" s="2" t="s">
        <v>90</v>
      </c>
      <c r="F161" s="2" t="s">
        <v>211</v>
      </c>
      <c r="G161" s="2">
        <v>57</v>
      </c>
      <c r="H161" s="2" t="s">
        <v>20</v>
      </c>
      <c r="I161" s="2" t="s">
        <v>134</v>
      </c>
      <c r="J161" s="2" t="s">
        <v>207</v>
      </c>
      <c r="K161" s="2" t="s">
        <v>16</v>
      </c>
      <c r="L161" s="2">
        <v>1.8</v>
      </c>
      <c r="M161" s="2">
        <v>30</v>
      </c>
      <c r="N161" s="2">
        <v>0.47299999999999998</v>
      </c>
      <c r="O161" s="109">
        <v>7.8833333333333329</v>
      </c>
      <c r="P161" s="2">
        <v>4.9664999999999999</v>
      </c>
      <c r="Q161" s="2" t="s">
        <v>17</v>
      </c>
      <c r="R161" s="2" t="s">
        <v>465</v>
      </c>
      <c r="S161" s="2">
        <v>0.46707700000000002</v>
      </c>
      <c r="T161" s="2">
        <v>8.2559999999999995E-3</v>
      </c>
      <c r="U161" s="2">
        <v>99.6</v>
      </c>
      <c r="V161" s="2">
        <v>30575605</v>
      </c>
    </row>
    <row r="162" spans="1:22" x14ac:dyDescent="0.25">
      <c r="A162" s="2" t="s">
        <v>423</v>
      </c>
      <c r="B162" s="2" t="s">
        <v>423</v>
      </c>
      <c r="C162" s="2">
        <v>1</v>
      </c>
      <c r="D162" s="2">
        <v>4</v>
      </c>
      <c r="E162" s="2" t="s">
        <v>90</v>
      </c>
      <c r="F162" s="2" t="s">
        <v>211</v>
      </c>
      <c r="G162" s="2">
        <v>75</v>
      </c>
      <c r="H162" s="2" t="s">
        <v>20</v>
      </c>
      <c r="I162" s="2" t="s">
        <v>99</v>
      </c>
      <c r="J162" s="2" t="s">
        <v>208</v>
      </c>
      <c r="K162" s="2" t="s">
        <v>16</v>
      </c>
      <c r="L162" s="2">
        <v>1.8</v>
      </c>
      <c r="M162" s="2">
        <v>30</v>
      </c>
      <c r="N162" s="2">
        <v>1.49</v>
      </c>
      <c r="O162" s="109">
        <v>24.833333333333336</v>
      </c>
      <c r="P162" s="2">
        <v>4.8900000000000006</v>
      </c>
      <c r="Q162" s="2" t="s">
        <v>17</v>
      </c>
      <c r="R162" s="2" t="s">
        <v>472</v>
      </c>
      <c r="S162" s="2">
        <v>0.70139099999999999</v>
      </c>
      <c r="T162" s="2">
        <v>9.7439999999999992E-3</v>
      </c>
      <c r="U162" s="2">
        <v>99.65</v>
      </c>
      <c r="V162" s="2">
        <v>45835452</v>
      </c>
    </row>
    <row r="163" spans="1:22" x14ac:dyDescent="0.25">
      <c r="A163" s="2" t="s">
        <v>425</v>
      </c>
      <c r="B163" s="2" t="s">
        <v>425</v>
      </c>
      <c r="C163" s="2">
        <v>1</v>
      </c>
      <c r="D163" s="2">
        <v>4</v>
      </c>
      <c r="E163" s="2" t="s">
        <v>90</v>
      </c>
      <c r="F163" s="2" t="s">
        <v>211</v>
      </c>
      <c r="G163" s="2">
        <v>70</v>
      </c>
      <c r="H163" s="2" t="s">
        <v>20</v>
      </c>
      <c r="I163" s="2" t="s">
        <v>97</v>
      </c>
      <c r="J163" s="2" t="s">
        <v>208</v>
      </c>
      <c r="K163" s="2" t="s">
        <v>16</v>
      </c>
      <c r="L163" s="2">
        <v>1.7</v>
      </c>
      <c r="M163" s="2">
        <v>30</v>
      </c>
      <c r="N163" s="2">
        <v>0.95399999999999996</v>
      </c>
      <c r="O163" s="109">
        <v>16.835294117647059</v>
      </c>
      <c r="P163" s="2">
        <v>4.7699999999999996</v>
      </c>
      <c r="Q163" s="2" t="s">
        <v>17</v>
      </c>
      <c r="R163" s="2" t="s">
        <v>465</v>
      </c>
      <c r="S163" s="2">
        <v>0.54622599999999999</v>
      </c>
      <c r="T163" s="2">
        <v>8.5019999999999991E-3</v>
      </c>
      <c r="U163" s="2">
        <v>99.65</v>
      </c>
      <c r="V163" s="2">
        <v>35609217</v>
      </c>
    </row>
    <row r="164" spans="1:22" x14ac:dyDescent="0.25">
      <c r="A164" s="2" t="s">
        <v>427</v>
      </c>
      <c r="B164" s="2" t="s">
        <v>427</v>
      </c>
      <c r="C164" s="2">
        <v>1</v>
      </c>
      <c r="D164" s="2">
        <v>401</v>
      </c>
      <c r="E164" s="2" t="s">
        <v>86</v>
      </c>
      <c r="F164" s="2" t="s">
        <v>211</v>
      </c>
      <c r="G164" s="2">
        <v>60</v>
      </c>
      <c r="H164" s="2" t="s">
        <v>20</v>
      </c>
      <c r="I164" s="2" t="s">
        <v>88</v>
      </c>
      <c r="J164" s="2" t="s">
        <v>88</v>
      </c>
      <c r="K164" s="2" t="s">
        <v>16</v>
      </c>
      <c r="L164" s="2">
        <v>1.7</v>
      </c>
      <c r="M164" s="2">
        <v>30</v>
      </c>
      <c r="N164" s="2">
        <v>0.36699999999999999</v>
      </c>
      <c r="O164" s="109">
        <v>6.4764705882352942</v>
      </c>
      <c r="P164" s="2">
        <v>4.9544999999999995</v>
      </c>
      <c r="Q164" s="2" t="s">
        <v>17</v>
      </c>
      <c r="R164" s="2" t="s">
        <v>465</v>
      </c>
      <c r="S164" s="2">
        <v>0.51300699999999999</v>
      </c>
      <c r="T164" s="2">
        <v>9.6109999999999998E-3</v>
      </c>
      <c r="U164" s="2">
        <v>99.63</v>
      </c>
      <c r="V164" s="2">
        <v>33675086</v>
      </c>
    </row>
    <row r="165" spans="1:22" x14ac:dyDescent="0.25">
      <c r="A165" s="2" t="s">
        <v>429</v>
      </c>
      <c r="B165" s="2" t="s">
        <v>429</v>
      </c>
      <c r="C165" s="2">
        <v>1</v>
      </c>
      <c r="D165" s="2">
        <v>4</v>
      </c>
      <c r="E165" s="2" t="s">
        <v>90</v>
      </c>
      <c r="F165" s="2" t="s">
        <v>211</v>
      </c>
      <c r="G165" s="2">
        <v>69</v>
      </c>
      <c r="H165" s="2" t="s">
        <v>20</v>
      </c>
      <c r="I165" s="2" t="s">
        <v>97</v>
      </c>
      <c r="J165" s="2" t="s">
        <v>208</v>
      </c>
      <c r="K165" s="2" t="s">
        <v>16</v>
      </c>
      <c r="L165" s="2">
        <v>1.9</v>
      </c>
      <c r="M165" s="2">
        <v>30</v>
      </c>
      <c r="N165" s="2">
        <v>0.94799999999999995</v>
      </c>
      <c r="O165" s="109">
        <v>14.968421052631578</v>
      </c>
      <c r="P165" s="2">
        <v>4.74</v>
      </c>
      <c r="Q165" s="2" t="s">
        <v>17</v>
      </c>
      <c r="R165" s="2" t="s">
        <v>465</v>
      </c>
      <c r="S165" s="2">
        <v>0.49347400000000002</v>
      </c>
      <c r="T165" s="2">
        <v>7.8860000000000006E-3</v>
      </c>
      <c r="U165" s="2">
        <v>99.63</v>
      </c>
      <c r="V165" s="2">
        <v>32345415</v>
      </c>
    </row>
    <row r="166" spans="1:22" x14ac:dyDescent="0.25">
      <c r="A166" s="2" t="s">
        <v>431</v>
      </c>
      <c r="B166" s="2" t="s">
        <v>431</v>
      </c>
      <c r="C166" s="2" t="e">
        <v>#N/A</v>
      </c>
      <c r="D166" s="2" t="e">
        <v>#N/A</v>
      </c>
      <c r="E166" s="2" t="s">
        <v>462</v>
      </c>
      <c r="F166" s="2" t="s">
        <v>211</v>
      </c>
      <c r="G166" s="2">
        <v>34</v>
      </c>
      <c r="H166" s="2" t="s">
        <v>15</v>
      </c>
      <c r="I166" s="2" t="s">
        <v>88</v>
      </c>
      <c r="J166" s="2" t="s">
        <v>88</v>
      </c>
      <c r="K166" s="2" t="s">
        <v>16</v>
      </c>
      <c r="L166" s="2">
        <v>2</v>
      </c>
      <c r="M166" s="2">
        <v>30</v>
      </c>
      <c r="N166" s="2">
        <v>0.73899999999999999</v>
      </c>
      <c r="O166" s="109">
        <v>11.084999999999999</v>
      </c>
      <c r="P166" s="2">
        <v>4.8034999999999997</v>
      </c>
      <c r="Q166" s="2" t="s">
        <v>17</v>
      </c>
      <c r="R166" s="2" t="s">
        <v>472</v>
      </c>
      <c r="S166" s="2">
        <v>0.68012399999999995</v>
      </c>
      <c r="T166" s="2">
        <v>7.7799999999999996E-3</v>
      </c>
      <c r="U166" s="2">
        <v>99.61</v>
      </c>
      <c r="V166" s="2">
        <v>44493516</v>
      </c>
    </row>
    <row r="167" spans="1:22" x14ac:dyDescent="0.25">
      <c r="A167" s="2" t="s">
        <v>433</v>
      </c>
      <c r="B167" s="2" t="s">
        <v>433</v>
      </c>
      <c r="C167" s="2">
        <v>1</v>
      </c>
      <c r="D167" s="2">
        <v>401</v>
      </c>
      <c r="E167" s="2" t="s">
        <v>86</v>
      </c>
      <c r="F167" s="2" t="s">
        <v>211</v>
      </c>
      <c r="G167" s="2">
        <v>43</v>
      </c>
      <c r="H167" s="2" t="s">
        <v>15</v>
      </c>
      <c r="I167" s="2" t="s">
        <v>88</v>
      </c>
      <c r="J167" s="2" t="s">
        <v>88</v>
      </c>
      <c r="K167" s="2" t="s">
        <v>16</v>
      </c>
      <c r="L167" s="2">
        <v>2</v>
      </c>
      <c r="M167" s="2">
        <v>30</v>
      </c>
      <c r="N167" s="2">
        <v>1.01</v>
      </c>
      <c r="O167" s="109">
        <v>15.15</v>
      </c>
      <c r="P167" s="2">
        <v>4.9490000000000007</v>
      </c>
      <c r="Q167" s="2" t="s">
        <v>17</v>
      </c>
      <c r="R167" s="2" t="s">
        <v>472</v>
      </c>
      <c r="S167" s="2">
        <v>0.65632900000000005</v>
      </c>
      <c r="T167" s="2">
        <v>9.4079999999999997E-3</v>
      </c>
      <c r="U167" s="2">
        <v>99.55</v>
      </c>
      <c r="V167" s="2">
        <v>43149012</v>
      </c>
    </row>
    <row r="168" spans="1:22" x14ac:dyDescent="0.25">
      <c r="A168" s="2" t="s">
        <v>435</v>
      </c>
      <c r="B168" s="2" t="s">
        <v>435</v>
      </c>
      <c r="C168" s="2">
        <v>1</v>
      </c>
      <c r="D168" s="2">
        <v>4</v>
      </c>
      <c r="E168" s="2" t="s">
        <v>90</v>
      </c>
      <c r="F168" s="2" t="s">
        <v>211</v>
      </c>
      <c r="G168" s="2">
        <v>70</v>
      </c>
      <c r="H168" s="2" t="s">
        <v>15</v>
      </c>
      <c r="I168" s="2" t="s">
        <v>97</v>
      </c>
      <c r="J168" s="2" t="s">
        <v>208</v>
      </c>
      <c r="K168" s="2" t="s">
        <v>16</v>
      </c>
      <c r="L168" s="2">
        <v>1.9</v>
      </c>
      <c r="M168" s="2">
        <v>30</v>
      </c>
      <c r="N168" s="2">
        <v>1.27</v>
      </c>
      <c r="O168" s="109">
        <v>20.05263157894737</v>
      </c>
      <c r="P168" s="2">
        <v>4.9800000000000004</v>
      </c>
      <c r="Q168" s="2" t="s">
        <v>17</v>
      </c>
      <c r="R168" s="2" t="s">
        <v>472</v>
      </c>
      <c r="S168" s="2">
        <v>0.84428899999999996</v>
      </c>
      <c r="T168" s="2">
        <v>9.7839999999999993E-3</v>
      </c>
      <c r="U168" s="2">
        <v>99.52</v>
      </c>
      <c r="V168" s="2">
        <v>55652022</v>
      </c>
    </row>
    <row r="169" spans="1:22" x14ac:dyDescent="0.25">
      <c r="A169" s="2" t="s">
        <v>437</v>
      </c>
      <c r="B169" s="2" t="s">
        <v>437</v>
      </c>
      <c r="C169" s="2" t="e">
        <v>#N/A</v>
      </c>
      <c r="D169" s="2" t="e">
        <v>#N/A</v>
      </c>
      <c r="E169" s="2" t="s">
        <v>462</v>
      </c>
      <c r="F169" s="2" t="s">
        <v>211</v>
      </c>
      <c r="G169" s="2">
        <v>38</v>
      </c>
      <c r="H169" s="2" t="s">
        <v>20</v>
      </c>
      <c r="I169" s="2" t="s">
        <v>88</v>
      </c>
      <c r="J169" s="2" t="s">
        <v>88</v>
      </c>
      <c r="K169" s="2" t="s">
        <v>16</v>
      </c>
      <c r="L169" s="2">
        <v>2</v>
      </c>
      <c r="M169" s="2">
        <v>30</v>
      </c>
      <c r="N169" s="2">
        <v>0.67500000000000004</v>
      </c>
      <c r="O169" s="109">
        <v>10.125</v>
      </c>
      <c r="P169" s="2">
        <v>4.7250000000000005</v>
      </c>
      <c r="Q169" s="2" t="s">
        <v>17</v>
      </c>
      <c r="R169" s="2" t="s">
        <v>472</v>
      </c>
      <c r="S169" s="2">
        <v>0.84258699999999997</v>
      </c>
      <c r="T169" s="2">
        <v>7.8329999999999997E-3</v>
      </c>
      <c r="U169" s="2">
        <v>99.63</v>
      </c>
      <c r="V169" s="2">
        <v>54989994</v>
      </c>
    </row>
    <row r="170" spans="1:22" x14ac:dyDescent="0.25">
      <c r="A170" s="2" t="s">
        <v>439</v>
      </c>
      <c r="B170" s="2" t="s">
        <v>439</v>
      </c>
      <c r="C170" s="2">
        <v>1</v>
      </c>
      <c r="D170" s="2">
        <v>4</v>
      </c>
      <c r="E170" s="2" t="s">
        <v>90</v>
      </c>
      <c r="F170" s="2" t="s">
        <v>211</v>
      </c>
      <c r="G170" s="2">
        <v>73</v>
      </c>
      <c r="H170" s="2" t="s">
        <v>20</v>
      </c>
      <c r="I170" s="2" t="s">
        <v>99</v>
      </c>
      <c r="J170" s="2" t="s">
        <v>208</v>
      </c>
      <c r="K170" s="2" t="s">
        <v>16</v>
      </c>
      <c r="L170" s="2">
        <v>1.5</v>
      </c>
      <c r="M170" s="2">
        <v>30</v>
      </c>
      <c r="N170" s="2">
        <v>0.55100000000000005</v>
      </c>
      <c r="O170" s="109">
        <v>11.020000000000001</v>
      </c>
      <c r="P170" s="2">
        <v>4.9590000000000005</v>
      </c>
      <c r="Q170" s="2" t="s">
        <v>17</v>
      </c>
      <c r="R170" s="2" t="s">
        <v>473</v>
      </c>
      <c r="S170" s="2">
        <v>0.54703100000000004</v>
      </c>
      <c r="T170" s="2">
        <v>6.1380000000000002E-3</v>
      </c>
      <c r="U170" s="2">
        <v>99.63</v>
      </c>
      <c r="V170" s="2">
        <v>35643111</v>
      </c>
    </row>
    <row r="171" spans="1:22" x14ac:dyDescent="0.25">
      <c r="A171" s="2" t="s">
        <v>441</v>
      </c>
      <c r="B171" s="2" t="s">
        <v>441</v>
      </c>
      <c r="C171" s="2" t="e">
        <v>#N/A</v>
      </c>
      <c r="D171" s="2" t="e">
        <v>#N/A</v>
      </c>
      <c r="E171" s="2" t="s">
        <v>462</v>
      </c>
      <c r="F171" s="2" t="s">
        <v>211</v>
      </c>
      <c r="G171" s="2">
        <v>58</v>
      </c>
      <c r="H171" s="2" t="s">
        <v>15</v>
      </c>
      <c r="I171" s="2" t="s">
        <v>88</v>
      </c>
      <c r="J171" s="2" t="s">
        <v>88</v>
      </c>
      <c r="K171" s="2" t="s">
        <v>16</v>
      </c>
      <c r="L171" s="2">
        <v>1.9</v>
      </c>
      <c r="M171" s="2">
        <v>30</v>
      </c>
      <c r="N171" s="2">
        <v>6.4</v>
      </c>
      <c r="O171" s="109">
        <v>101.05263157894737</v>
      </c>
      <c r="P171" s="2">
        <v>4.95</v>
      </c>
      <c r="Q171" s="2" t="s">
        <v>17</v>
      </c>
      <c r="R171" s="2" t="s">
        <v>473</v>
      </c>
      <c r="S171" s="2">
        <v>0.368668</v>
      </c>
      <c r="T171" s="2">
        <v>9.4219999999999998E-3</v>
      </c>
      <c r="U171" s="2">
        <v>99.5</v>
      </c>
      <c r="V171" s="2">
        <v>24351097</v>
      </c>
    </row>
    <row r="172" spans="1:22" x14ac:dyDescent="0.25">
      <c r="A172" s="2" t="s">
        <v>443</v>
      </c>
      <c r="B172" s="2" t="s">
        <v>443</v>
      </c>
      <c r="C172" s="2">
        <v>1</v>
      </c>
      <c r="D172" s="2">
        <v>4</v>
      </c>
      <c r="E172" s="2" t="s">
        <v>90</v>
      </c>
      <c r="F172" s="2" t="s">
        <v>211</v>
      </c>
      <c r="G172" s="2">
        <v>50</v>
      </c>
      <c r="H172" s="2" t="s">
        <v>15</v>
      </c>
      <c r="I172" s="2" t="s">
        <v>111</v>
      </c>
      <c r="J172" s="2" t="s">
        <v>469</v>
      </c>
      <c r="K172" s="2" t="s">
        <v>16</v>
      </c>
      <c r="L172" s="2">
        <v>2</v>
      </c>
      <c r="M172" s="2">
        <v>30</v>
      </c>
      <c r="N172" s="2">
        <v>5.2</v>
      </c>
      <c r="O172" s="109">
        <v>78</v>
      </c>
      <c r="P172" s="2">
        <v>5.0250000000000004</v>
      </c>
      <c r="Q172" s="2" t="s">
        <v>17</v>
      </c>
      <c r="R172" s="2" t="s">
        <v>473</v>
      </c>
      <c r="S172" s="2">
        <v>0.28601199999999999</v>
      </c>
      <c r="T172" s="2">
        <v>9.4879999999999999E-3</v>
      </c>
      <c r="U172" s="2">
        <v>99.54</v>
      </c>
      <c r="V172" s="2">
        <v>18965302</v>
      </c>
    </row>
    <row r="173" spans="1:22" x14ac:dyDescent="0.25">
      <c r="A173" s="2" t="s">
        <v>445</v>
      </c>
      <c r="B173" s="2" t="s">
        <v>445</v>
      </c>
      <c r="C173" s="2">
        <v>1</v>
      </c>
      <c r="D173" s="2">
        <v>401</v>
      </c>
      <c r="E173" s="2" t="s">
        <v>86</v>
      </c>
      <c r="F173" s="2" t="s">
        <v>206</v>
      </c>
      <c r="G173" s="2">
        <v>34</v>
      </c>
      <c r="H173" s="2" t="s">
        <v>20</v>
      </c>
      <c r="I173" s="2" t="s">
        <v>88</v>
      </c>
      <c r="J173" s="2" t="s">
        <v>88</v>
      </c>
      <c r="K173" s="2" t="s">
        <v>16</v>
      </c>
      <c r="L173" s="2">
        <v>1.8</v>
      </c>
      <c r="M173" s="2">
        <v>30</v>
      </c>
      <c r="N173" s="2">
        <v>0.27600000000000002</v>
      </c>
      <c r="O173" s="109">
        <v>4.6000000000000005</v>
      </c>
      <c r="P173" s="2">
        <v>4.968</v>
      </c>
      <c r="Q173" s="2" t="s">
        <v>17</v>
      </c>
      <c r="R173" s="2" t="s">
        <v>474</v>
      </c>
      <c r="S173" s="2">
        <v>0.785551</v>
      </c>
      <c r="T173" s="2">
        <v>8.7880000000000007E-3</v>
      </c>
      <c r="U173" s="2">
        <v>99.6</v>
      </c>
      <c r="V173" s="2">
        <v>51673952</v>
      </c>
    </row>
    <row r="174" spans="1:22" x14ac:dyDescent="0.25">
      <c r="A174" s="2" t="s">
        <v>447</v>
      </c>
      <c r="B174" s="2" t="s">
        <v>447</v>
      </c>
      <c r="C174" s="2">
        <v>1</v>
      </c>
      <c r="D174" s="2">
        <v>401</v>
      </c>
      <c r="E174" s="2" t="s">
        <v>86</v>
      </c>
      <c r="F174" s="2" t="s">
        <v>206</v>
      </c>
      <c r="G174" s="2">
        <v>70</v>
      </c>
      <c r="H174" s="2" t="s">
        <v>20</v>
      </c>
      <c r="I174" s="2" t="s">
        <v>88</v>
      </c>
      <c r="J174" s="2" t="s">
        <v>88</v>
      </c>
      <c r="K174" s="2" t="s">
        <v>16</v>
      </c>
      <c r="L174" s="2">
        <v>2</v>
      </c>
      <c r="M174" s="2">
        <v>30</v>
      </c>
      <c r="N174" s="2">
        <v>0.59599999999999997</v>
      </c>
      <c r="O174" s="109">
        <v>8.94</v>
      </c>
      <c r="P174" s="2">
        <v>4.7679999999999998</v>
      </c>
      <c r="Q174" s="2" t="s">
        <v>17</v>
      </c>
      <c r="R174" s="2" t="s">
        <v>474</v>
      </c>
      <c r="S174" s="2">
        <v>0.53985000000000005</v>
      </c>
      <c r="T174" s="2">
        <v>6.9550000000000002E-3</v>
      </c>
      <c r="U174" s="2">
        <v>94.5</v>
      </c>
      <c r="V174" s="2">
        <v>37299807</v>
      </c>
    </row>
    <row r="175" spans="1:22" x14ac:dyDescent="0.25">
      <c r="A175" s="2" t="s">
        <v>449</v>
      </c>
      <c r="B175" s="2" t="s">
        <v>449</v>
      </c>
      <c r="C175" s="2">
        <v>1</v>
      </c>
      <c r="D175" s="2">
        <v>4</v>
      </c>
      <c r="E175" s="2" t="s">
        <v>90</v>
      </c>
      <c r="F175" s="2" t="s">
        <v>206</v>
      </c>
      <c r="G175" s="2">
        <v>63</v>
      </c>
      <c r="H175" s="2" t="s">
        <v>15</v>
      </c>
      <c r="I175" s="2" t="s">
        <v>97</v>
      </c>
      <c r="J175" s="2" t="s">
        <v>208</v>
      </c>
      <c r="K175" s="2" t="s">
        <v>16</v>
      </c>
      <c r="L175" s="2">
        <v>1.8</v>
      </c>
      <c r="M175" s="2">
        <v>30</v>
      </c>
      <c r="N175" s="2">
        <v>0.24199999999999999</v>
      </c>
      <c r="O175" s="109">
        <v>4.0333333333333332</v>
      </c>
      <c r="P175" s="2">
        <v>4.3559999999999999</v>
      </c>
      <c r="Q175" s="2" t="s">
        <v>17</v>
      </c>
      <c r="R175" s="2" t="s">
        <v>476</v>
      </c>
      <c r="S175" s="2">
        <v>0.51615200000000006</v>
      </c>
      <c r="T175" s="2">
        <v>6.1619999999999999E-3</v>
      </c>
      <c r="U175" s="2">
        <v>99.53</v>
      </c>
      <c r="V175" s="2">
        <v>33991026</v>
      </c>
    </row>
    <row r="176" spans="1:22" x14ac:dyDescent="0.25">
      <c r="A176" s="2" t="s">
        <v>451</v>
      </c>
      <c r="B176" s="2" t="s">
        <v>451</v>
      </c>
      <c r="C176" s="2" t="e">
        <v>#N/A</v>
      </c>
      <c r="D176" s="2" t="e">
        <v>#N/A</v>
      </c>
      <c r="E176" s="2" t="s">
        <v>462</v>
      </c>
      <c r="F176" s="2" t="s">
        <v>211</v>
      </c>
      <c r="G176" s="2">
        <v>68</v>
      </c>
      <c r="H176" s="2" t="s">
        <v>20</v>
      </c>
      <c r="I176" s="2" t="s">
        <v>88</v>
      </c>
      <c r="J176" s="2" t="s">
        <v>88</v>
      </c>
      <c r="K176" s="2" t="s">
        <v>16</v>
      </c>
      <c r="L176" s="2">
        <v>1.7</v>
      </c>
      <c r="M176" s="2">
        <v>30</v>
      </c>
      <c r="N176" s="2">
        <v>0.57299999999999995</v>
      </c>
      <c r="O176" s="109">
        <v>10.111764705882353</v>
      </c>
      <c r="P176" s="2">
        <v>4.8704999999999998</v>
      </c>
      <c r="Q176" s="2" t="s">
        <v>17</v>
      </c>
      <c r="R176" s="2" t="s">
        <v>478</v>
      </c>
      <c r="S176" s="2">
        <v>0.46817199999999998</v>
      </c>
      <c r="T176" s="2">
        <v>9.7400000000000004E-3</v>
      </c>
      <c r="U176" s="2">
        <v>99.55</v>
      </c>
      <c r="V176" s="2">
        <v>30861308</v>
      </c>
    </row>
    <row r="177" spans="1:22" x14ac:dyDescent="0.25">
      <c r="A177" s="2" t="s">
        <v>453</v>
      </c>
      <c r="B177" s="2" t="s">
        <v>453</v>
      </c>
      <c r="C177" s="2" t="e">
        <v>#N/A</v>
      </c>
      <c r="D177" s="2" t="e">
        <v>#N/A</v>
      </c>
      <c r="E177" s="2" t="s">
        <v>462</v>
      </c>
      <c r="F177" s="2" t="s">
        <v>211</v>
      </c>
      <c r="G177" s="2">
        <v>83</v>
      </c>
      <c r="H177" s="2" t="s">
        <v>20</v>
      </c>
      <c r="I177" s="2" t="s">
        <v>88</v>
      </c>
      <c r="J177" s="2" t="s">
        <v>88</v>
      </c>
      <c r="K177" s="2" t="s">
        <v>16</v>
      </c>
      <c r="L177" s="2">
        <v>1.8</v>
      </c>
      <c r="M177" s="2">
        <v>30</v>
      </c>
      <c r="N177" s="2">
        <v>0.753</v>
      </c>
      <c r="O177" s="109">
        <v>12.549999999999999</v>
      </c>
      <c r="P177" s="2">
        <v>4.8944999999999999</v>
      </c>
      <c r="Q177" s="2" t="s">
        <v>17</v>
      </c>
      <c r="R177" s="2" t="s">
        <v>478</v>
      </c>
      <c r="S177" s="2">
        <v>0.43146800000000002</v>
      </c>
      <c r="T177" s="2">
        <v>8.3020000000000004E-3</v>
      </c>
      <c r="U177" s="2">
        <v>99.56</v>
      </c>
      <c r="V177" s="2">
        <v>28337565</v>
      </c>
    </row>
  </sheetData>
  <autoFilter ref="A1:V177" xr:uid="{00000000-0001-0000-0000-000000000000}"/>
  <conditionalFormatting sqref="A67:A177 A1:A51">
    <cfRule type="duplicateValues" dxfId="10" priority="22"/>
  </conditionalFormatting>
  <conditionalFormatting sqref="B178:B1048576">
    <cfRule type="duplicateValues" dxfId="9" priority="19"/>
    <cfRule type="duplicateValues" dxfId="8" priority="2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06CCF-0FC7-4EA1-A775-AE7569B32740}">
  <dimension ref="A1:D5"/>
  <sheetViews>
    <sheetView workbookViewId="0">
      <selection activeCell="B31" sqref="B31"/>
    </sheetView>
  </sheetViews>
  <sheetFormatPr defaultRowHeight="15" x14ac:dyDescent="0.25"/>
  <cols>
    <col min="1" max="1" width="31.28515625" customWidth="1"/>
    <col min="2" max="2" width="19.7109375" bestFit="1" customWidth="1"/>
    <col min="3" max="3" width="16" customWidth="1"/>
  </cols>
  <sheetData>
    <row r="1" spans="1:4" x14ac:dyDescent="0.25">
      <c r="A1" s="3"/>
      <c r="B1" s="3" t="s">
        <v>198</v>
      </c>
      <c r="C1" s="3" t="s">
        <v>199</v>
      </c>
      <c r="D1" s="3" t="s">
        <v>202</v>
      </c>
    </row>
    <row r="2" spans="1:4" x14ac:dyDescent="0.25">
      <c r="A2" s="3" t="s">
        <v>196</v>
      </c>
      <c r="B2" s="3">
        <f>COUNTIF(Sheet1!E:E,"Gastric")</f>
        <v>58</v>
      </c>
      <c r="C2" s="3">
        <f>COUNTIFS(Sheet1!E:E,"Gastric",Sheet1!P:P,"Yes")</f>
        <v>0</v>
      </c>
      <c r="D2" s="3">
        <f>B2-C2</f>
        <v>58</v>
      </c>
    </row>
    <row r="3" spans="1:4" x14ac:dyDescent="0.25">
      <c r="A3" s="3" t="s">
        <v>200</v>
      </c>
      <c r="B3" s="3">
        <f>COUNTIF(Sheet1!E:E,"Gastric_thumausai")</f>
        <v>28</v>
      </c>
      <c r="C3" s="3">
        <f>COUNTIFS(Sheet1!E:E,"Gastric_thumausai",Sheet1!P:P,"Yes")</f>
        <v>0</v>
      </c>
      <c r="D3" s="3">
        <f t="shared" ref="D3:D5" si="0">B3-C3</f>
        <v>28</v>
      </c>
    </row>
    <row r="4" spans="1:4" x14ac:dyDescent="0.25">
      <c r="A4" s="3" t="s">
        <v>197</v>
      </c>
      <c r="B4" s="3">
        <f>COUNTIF(Sheet1!E:E,"Healthy")</f>
        <v>67</v>
      </c>
      <c r="C4" s="3">
        <f>COUNTIFS(Sheet1!E:E,"Healthy",Sheet1!P:P,"Yes")</f>
        <v>0</v>
      </c>
      <c r="D4" s="3">
        <f t="shared" si="0"/>
        <v>67</v>
      </c>
    </row>
    <row r="5" spans="1:4" x14ac:dyDescent="0.25">
      <c r="A5" s="3" t="s">
        <v>201</v>
      </c>
      <c r="B5" s="3">
        <f>COUNTIF(Sheet1!E:E,"Healthy_thumausai")</f>
        <v>1</v>
      </c>
      <c r="C5" s="3">
        <f>COUNTIFS(Sheet1!E:E,"Healthy_thumausai",Sheet1!P:P,"Yes")</f>
        <v>0</v>
      </c>
      <c r="D5" s="3">
        <f t="shared" si="0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63DE1-C4C6-4AA3-B6A8-1931E3CE8F5B}">
  <dimension ref="A1:O195"/>
  <sheetViews>
    <sheetView zoomScale="85" zoomScaleNormal="85" workbookViewId="0">
      <selection activeCell="A112" sqref="A112:XFD113"/>
    </sheetView>
  </sheetViews>
  <sheetFormatPr defaultRowHeight="15" x14ac:dyDescent="0.25"/>
  <cols>
    <col min="2" max="2" width="10.28515625" bestFit="1" customWidth="1"/>
    <col min="3" max="3" width="15" bestFit="1" customWidth="1"/>
    <col min="4" max="4" width="32.140625" bestFit="1" customWidth="1"/>
    <col min="5" max="5" width="37.5703125" bestFit="1" customWidth="1"/>
    <col min="6" max="6" width="11.28515625" bestFit="1" customWidth="1"/>
    <col min="7" max="7" width="17.5703125" bestFit="1" customWidth="1"/>
    <col min="8" max="8" width="16.7109375" bestFit="1" customWidth="1"/>
    <col min="9" max="9" width="23.7109375" bestFit="1" customWidth="1"/>
    <col min="10" max="10" width="13" customWidth="1"/>
    <col min="11" max="11" width="0" hidden="1" customWidth="1"/>
    <col min="12" max="13" width="15.85546875" customWidth="1"/>
    <col min="14" max="14" width="14.140625" bestFit="1" customWidth="1"/>
    <col min="15" max="15" width="22.28515625" bestFit="1" customWidth="1"/>
  </cols>
  <sheetData>
    <row r="1" spans="1:15" ht="31.5" x14ac:dyDescent="0.25">
      <c r="A1" s="5" t="s">
        <v>219</v>
      </c>
      <c r="B1" s="6">
        <v>9102024</v>
      </c>
      <c r="C1" s="105" t="s">
        <v>1</v>
      </c>
      <c r="D1" s="8" t="s">
        <v>220</v>
      </c>
      <c r="E1" s="9" t="s">
        <v>221</v>
      </c>
      <c r="F1" s="9" t="s">
        <v>222</v>
      </c>
      <c r="G1" s="9" t="s">
        <v>223</v>
      </c>
      <c r="H1" s="9" t="s">
        <v>224</v>
      </c>
      <c r="I1" s="9" t="s">
        <v>225</v>
      </c>
      <c r="J1" s="52" t="s">
        <v>226</v>
      </c>
      <c r="K1" s="62" t="s">
        <v>479</v>
      </c>
      <c r="L1" s="78" t="s">
        <v>482</v>
      </c>
      <c r="M1" s="78" t="s">
        <v>483</v>
      </c>
      <c r="N1" s="62" t="s">
        <v>480</v>
      </c>
      <c r="O1" s="78" t="s">
        <v>484</v>
      </c>
    </row>
    <row r="2" spans="1:15" ht="15.75" x14ac:dyDescent="0.25">
      <c r="A2" s="30"/>
      <c r="B2" s="11" t="s">
        <v>279</v>
      </c>
      <c r="C2" s="11" t="s">
        <v>13</v>
      </c>
      <c r="D2" s="12">
        <v>0.32500000000000001</v>
      </c>
      <c r="E2" s="11"/>
      <c r="F2" s="31">
        <v>2</v>
      </c>
      <c r="G2" s="11" t="s">
        <v>16</v>
      </c>
      <c r="H2" s="11" t="s">
        <v>244</v>
      </c>
      <c r="I2" s="11" t="s">
        <v>231</v>
      </c>
      <c r="J2" s="40"/>
      <c r="K2" s="63">
        <f t="shared" ref="K2:K33" si="0">D2*25</f>
        <v>8.125</v>
      </c>
      <c r="L2">
        <f>IF(5/D2&gt;18,18,5/D2)</f>
        <v>15.384615384615383</v>
      </c>
      <c r="M2">
        <f>(25-L2)*D2</f>
        <v>3.1250000000000004</v>
      </c>
      <c r="N2" s="63" t="s">
        <v>485</v>
      </c>
      <c r="O2" s="31">
        <v>2</v>
      </c>
    </row>
    <row r="3" spans="1:15" ht="15.75" x14ac:dyDescent="0.25">
      <c r="A3" s="65"/>
      <c r="B3" s="11" t="s">
        <v>280</v>
      </c>
      <c r="C3" s="11" t="s">
        <v>19</v>
      </c>
      <c r="D3" s="32">
        <v>0.25800000000000001</v>
      </c>
      <c r="E3" s="11"/>
      <c r="F3" s="31">
        <v>2</v>
      </c>
      <c r="G3" s="11" t="s">
        <v>16</v>
      </c>
      <c r="H3" s="11" t="s">
        <v>244</v>
      </c>
      <c r="I3" s="13" t="s">
        <v>231</v>
      </c>
      <c r="J3" s="40"/>
      <c r="K3" s="63">
        <f t="shared" si="0"/>
        <v>6.45</v>
      </c>
      <c r="L3">
        <f t="shared" ref="L3:L65" si="1">IF(5/D3&gt;18,18,5/D3)</f>
        <v>18</v>
      </c>
      <c r="M3">
        <f t="shared" ref="M3:M64" si="2">(25-L3)*D3</f>
        <v>1.806</v>
      </c>
      <c r="N3" s="63" t="s">
        <v>481</v>
      </c>
      <c r="O3" s="31">
        <v>2</v>
      </c>
    </row>
    <row r="4" spans="1:15" ht="15.75" x14ac:dyDescent="0.25">
      <c r="A4" s="65"/>
      <c r="B4" s="11" t="s">
        <v>281</v>
      </c>
      <c r="C4" s="11" t="s">
        <v>21</v>
      </c>
      <c r="D4" s="32">
        <v>0.153</v>
      </c>
      <c r="E4" s="11"/>
      <c r="F4" s="31">
        <v>2</v>
      </c>
      <c r="G4" s="11" t="s">
        <v>16</v>
      </c>
      <c r="H4" s="11" t="s">
        <v>244</v>
      </c>
      <c r="I4" s="13" t="s">
        <v>231</v>
      </c>
      <c r="J4" s="40"/>
      <c r="K4" s="63">
        <f t="shared" si="0"/>
        <v>3.8249999999999997</v>
      </c>
      <c r="L4">
        <f t="shared" si="1"/>
        <v>18</v>
      </c>
      <c r="M4">
        <f t="shared" si="2"/>
        <v>1.071</v>
      </c>
      <c r="N4" s="63" t="s">
        <v>481</v>
      </c>
      <c r="O4" s="31">
        <v>2</v>
      </c>
    </row>
    <row r="5" spans="1:15" ht="15.75" x14ac:dyDescent="0.25">
      <c r="A5" s="64"/>
      <c r="B5" s="11" t="s">
        <v>284</v>
      </c>
      <c r="C5" s="11" t="s">
        <v>25</v>
      </c>
      <c r="D5" s="12">
        <v>0.498</v>
      </c>
      <c r="E5" s="11">
        <v>12.45</v>
      </c>
      <c r="F5" s="35">
        <v>1.5</v>
      </c>
      <c r="G5" s="11" t="s">
        <v>16</v>
      </c>
      <c r="H5" s="11" t="s">
        <v>283</v>
      </c>
      <c r="I5" s="13" t="s">
        <v>231</v>
      </c>
      <c r="J5" s="57"/>
      <c r="K5" s="63">
        <f t="shared" si="0"/>
        <v>12.45</v>
      </c>
      <c r="L5">
        <f t="shared" si="1"/>
        <v>10.040160642570282</v>
      </c>
      <c r="M5">
        <f t="shared" si="2"/>
        <v>7.4499999999999993</v>
      </c>
      <c r="N5" s="63" t="s">
        <v>485</v>
      </c>
      <c r="O5" s="35">
        <v>1.5</v>
      </c>
    </row>
    <row r="6" spans="1:15" ht="15.75" x14ac:dyDescent="0.25">
      <c r="A6" s="64"/>
      <c r="B6" s="11" t="s">
        <v>285</v>
      </c>
      <c r="C6" s="11" t="s">
        <v>27</v>
      </c>
      <c r="D6" s="12">
        <v>0.88200000000000001</v>
      </c>
      <c r="E6" s="11">
        <v>22.05</v>
      </c>
      <c r="F6" s="31">
        <v>2</v>
      </c>
      <c r="G6" s="11" t="s">
        <v>16</v>
      </c>
      <c r="H6" s="11" t="s">
        <v>283</v>
      </c>
      <c r="I6" s="13" t="s">
        <v>231</v>
      </c>
      <c r="J6" s="57" t="s">
        <v>286</v>
      </c>
      <c r="K6" s="63">
        <f t="shared" si="0"/>
        <v>22.05</v>
      </c>
      <c r="L6">
        <f t="shared" si="1"/>
        <v>5.6689342403628116</v>
      </c>
      <c r="M6">
        <f t="shared" si="2"/>
        <v>17.05</v>
      </c>
      <c r="N6" s="63" t="s">
        <v>485</v>
      </c>
      <c r="O6" s="31">
        <v>2</v>
      </c>
    </row>
    <row r="7" spans="1:15" ht="15.75" x14ac:dyDescent="0.25">
      <c r="A7" s="64"/>
      <c r="B7" s="11" t="s">
        <v>287</v>
      </c>
      <c r="C7" s="11" t="s">
        <v>28</v>
      </c>
      <c r="D7" s="12">
        <v>0.64500000000000002</v>
      </c>
      <c r="E7" s="11">
        <v>16.125</v>
      </c>
      <c r="F7" s="31">
        <v>2</v>
      </c>
      <c r="G7" s="11" t="s">
        <v>16</v>
      </c>
      <c r="H7" s="11" t="s">
        <v>283</v>
      </c>
      <c r="I7" s="13" t="s">
        <v>231</v>
      </c>
      <c r="J7" s="57" t="s">
        <v>286</v>
      </c>
      <c r="K7" s="63">
        <f t="shared" si="0"/>
        <v>16.125</v>
      </c>
      <c r="L7">
        <f t="shared" si="1"/>
        <v>7.7519379844961236</v>
      </c>
      <c r="M7">
        <f t="shared" si="2"/>
        <v>11.125</v>
      </c>
      <c r="N7" s="63" t="s">
        <v>485</v>
      </c>
      <c r="O7" s="31">
        <v>2</v>
      </c>
    </row>
    <row r="8" spans="1:15" ht="15.75" x14ac:dyDescent="0.25">
      <c r="A8" s="64"/>
      <c r="B8" s="11" t="s">
        <v>288</v>
      </c>
      <c r="C8" s="11" t="s">
        <v>29</v>
      </c>
      <c r="D8" s="12">
        <v>0.49</v>
      </c>
      <c r="E8" s="11">
        <v>12.25</v>
      </c>
      <c r="F8" s="31">
        <v>2</v>
      </c>
      <c r="G8" s="11" t="s">
        <v>16</v>
      </c>
      <c r="H8" s="11" t="s">
        <v>283</v>
      </c>
      <c r="I8" s="13" t="s">
        <v>231</v>
      </c>
      <c r="J8" s="57" t="s">
        <v>286</v>
      </c>
      <c r="K8" s="63">
        <f t="shared" si="0"/>
        <v>12.25</v>
      </c>
      <c r="L8">
        <f t="shared" si="1"/>
        <v>10.204081632653061</v>
      </c>
      <c r="M8">
        <f t="shared" si="2"/>
        <v>7.25</v>
      </c>
      <c r="N8" s="63" t="s">
        <v>485</v>
      </c>
      <c r="O8" s="31">
        <v>2</v>
      </c>
    </row>
    <row r="9" spans="1:15" ht="15.75" x14ac:dyDescent="0.25">
      <c r="A9" s="64"/>
      <c r="B9" s="11" t="s">
        <v>289</v>
      </c>
      <c r="C9" s="11" t="s">
        <v>30</v>
      </c>
      <c r="D9" s="12">
        <v>0.46899999999999997</v>
      </c>
      <c r="E9" s="11">
        <v>11.725</v>
      </c>
      <c r="F9" s="35">
        <v>1.8</v>
      </c>
      <c r="G9" s="11" t="s">
        <v>16</v>
      </c>
      <c r="H9" s="11" t="s">
        <v>283</v>
      </c>
      <c r="I9" s="13" t="s">
        <v>231</v>
      </c>
      <c r="J9" s="57" t="s">
        <v>286</v>
      </c>
      <c r="K9" s="63">
        <f t="shared" si="0"/>
        <v>11.725</v>
      </c>
      <c r="L9">
        <f t="shared" si="1"/>
        <v>10.660980810234543</v>
      </c>
      <c r="M9">
        <f t="shared" si="2"/>
        <v>6.7249999999999988</v>
      </c>
      <c r="N9" s="63" t="s">
        <v>485</v>
      </c>
      <c r="O9" s="35">
        <v>1.8</v>
      </c>
    </row>
    <row r="10" spans="1:15" ht="15.75" x14ac:dyDescent="0.25">
      <c r="A10" s="64"/>
      <c r="B10" s="11" t="s">
        <v>290</v>
      </c>
      <c r="C10" s="11" t="s">
        <v>31</v>
      </c>
      <c r="D10" s="12">
        <v>0.26300000000000001</v>
      </c>
      <c r="E10" s="11">
        <v>6.5750000000000002</v>
      </c>
      <c r="F10" s="31">
        <v>2</v>
      </c>
      <c r="G10" s="11" t="s">
        <v>16</v>
      </c>
      <c r="H10" s="11" t="s">
        <v>283</v>
      </c>
      <c r="I10" s="13" t="s">
        <v>231</v>
      </c>
      <c r="J10" s="57" t="s">
        <v>286</v>
      </c>
      <c r="K10" s="63">
        <f t="shared" si="0"/>
        <v>6.5750000000000002</v>
      </c>
      <c r="L10">
        <f t="shared" si="1"/>
        <v>18</v>
      </c>
      <c r="M10">
        <f t="shared" si="2"/>
        <v>1.8410000000000002</v>
      </c>
      <c r="N10" s="63" t="s">
        <v>481</v>
      </c>
      <c r="O10" s="31">
        <v>2</v>
      </c>
    </row>
    <row r="11" spans="1:15" ht="15.75" x14ac:dyDescent="0.25">
      <c r="A11" s="64"/>
      <c r="B11" s="11" t="s">
        <v>291</v>
      </c>
      <c r="C11" s="11" t="s">
        <v>32</v>
      </c>
      <c r="D11" s="12">
        <v>0.49099999999999999</v>
      </c>
      <c r="E11" s="11">
        <v>12.275</v>
      </c>
      <c r="F11" s="35">
        <v>1.8</v>
      </c>
      <c r="G11" s="11" t="s">
        <v>16</v>
      </c>
      <c r="H11" s="11" t="s">
        <v>283</v>
      </c>
      <c r="I11" s="15" t="s">
        <v>231</v>
      </c>
      <c r="J11" s="57" t="s">
        <v>286</v>
      </c>
      <c r="K11" s="63">
        <f t="shared" si="0"/>
        <v>12.275</v>
      </c>
      <c r="L11">
        <f t="shared" si="1"/>
        <v>10.183299389002038</v>
      </c>
      <c r="M11">
        <f t="shared" si="2"/>
        <v>7.2749999999999995</v>
      </c>
      <c r="N11" s="63" t="s">
        <v>485</v>
      </c>
      <c r="O11" s="35">
        <v>1.8</v>
      </c>
    </row>
    <row r="12" spans="1:15" ht="15.75" x14ac:dyDescent="0.25">
      <c r="A12" s="64"/>
      <c r="B12" s="11" t="s">
        <v>292</v>
      </c>
      <c r="C12" s="11" t="s">
        <v>33</v>
      </c>
      <c r="D12" s="12">
        <v>0.39</v>
      </c>
      <c r="E12" s="11">
        <v>9.75</v>
      </c>
      <c r="F12" s="35">
        <v>1.5</v>
      </c>
      <c r="G12" s="11" t="s">
        <v>16</v>
      </c>
      <c r="H12" s="11" t="s">
        <v>283</v>
      </c>
      <c r="I12" s="13" t="s">
        <v>231</v>
      </c>
      <c r="J12" s="57" t="s">
        <v>286</v>
      </c>
      <c r="K12" s="63">
        <f t="shared" si="0"/>
        <v>9.75</v>
      </c>
      <c r="L12">
        <f t="shared" si="1"/>
        <v>12.820512820512819</v>
      </c>
      <c r="M12">
        <f t="shared" si="2"/>
        <v>4.7500000000000009</v>
      </c>
      <c r="N12" s="63" t="s">
        <v>485</v>
      </c>
      <c r="O12" s="35">
        <v>1.5</v>
      </c>
    </row>
    <row r="13" spans="1:15" ht="15.75" x14ac:dyDescent="0.25">
      <c r="A13" s="64"/>
      <c r="B13" s="11" t="s">
        <v>293</v>
      </c>
      <c r="C13" s="11" t="s">
        <v>34</v>
      </c>
      <c r="D13" s="12">
        <v>0.36399999999999999</v>
      </c>
      <c r="E13" s="11">
        <v>9.1</v>
      </c>
      <c r="F13" s="31">
        <v>2</v>
      </c>
      <c r="G13" s="11" t="s">
        <v>16</v>
      </c>
      <c r="H13" s="11" t="s">
        <v>283</v>
      </c>
      <c r="I13" s="13" t="s">
        <v>231</v>
      </c>
      <c r="J13" s="57" t="s">
        <v>286</v>
      </c>
      <c r="K13" s="63">
        <f t="shared" si="0"/>
        <v>9.1</v>
      </c>
      <c r="L13">
        <f t="shared" si="1"/>
        <v>13.736263736263737</v>
      </c>
      <c r="M13">
        <f t="shared" si="2"/>
        <v>4.0999999999999996</v>
      </c>
      <c r="N13" s="63" t="s">
        <v>485</v>
      </c>
      <c r="O13" s="31">
        <v>2</v>
      </c>
    </row>
    <row r="14" spans="1:15" ht="15.75" x14ac:dyDescent="0.25">
      <c r="A14" s="64"/>
      <c r="B14" s="11" t="s">
        <v>294</v>
      </c>
      <c r="C14" s="11" t="s">
        <v>35</v>
      </c>
      <c r="D14" s="12">
        <v>0.40200000000000002</v>
      </c>
      <c r="E14" s="11">
        <v>10.050000000000001</v>
      </c>
      <c r="F14" s="31">
        <v>2</v>
      </c>
      <c r="G14" s="11" t="s">
        <v>16</v>
      </c>
      <c r="H14" s="11" t="s">
        <v>283</v>
      </c>
      <c r="I14" s="13" t="s">
        <v>231</v>
      </c>
      <c r="J14" s="57" t="s">
        <v>286</v>
      </c>
      <c r="K14" s="63">
        <f t="shared" si="0"/>
        <v>10.050000000000001</v>
      </c>
      <c r="L14">
        <f t="shared" si="1"/>
        <v>12.437810945273631</v>
      </c>
      <c r="M14">
        <f t="shared" si="2"/>
        <v>5.0500000000000007</v>
      </c>
      <c r="N14" s="63" t="s">
        <v>485</v>
      </c>
      <c r="O14" s="31">
        <v>2</v>
      </c>
    </row>
    <row r="15" spans="1:15" ht="15.75" x14ac:dyDescent="0.25">
      <c r="A15" s="64"/>
      <c r="B15" s="11" t="s">
        <v>295</v>
      </c>
      <c r="C15" s="11" t="s">
        <v>36</v>
      </c>
      <c r="D15" s="12">
        <v>0.57199999999999995</v>
      </c>
      <c r="E15" s="11">
        <v>14.3</v>
      </c>
      <c r="F15" s="31">
        <v>2</v>
      </c>
      <c r="G15" s="11" t="s">
        <v>16</v>
      </c>
      <c r="H15" s="11" t="s">
        <v>283</v>
      </c>
      <c r="I15" s="13" t="s">
        <v>231</v>
      </c>
      <c r="J15" s="57" t="s">
        <v>286</v>
      </c>
      <c r="K15" s="63">
        <f t="shared" si="0"/>
        <v>14.299999999999999</v>
      </c>
      <c r="L15">
        <f t="shared" si="1"/>
        <v>8.7412587412587417</v>
      </c>
      <c r="M15">
        <f t="shared" si="2"/>
        <v>9.3000000000000007</v>
      </c>
      <c r="N15" s="63" t="s">
        <v>485</v>
      </c>
      <c r="O15" s="31">
        <v>2</v>
      </c>
    </row>
    <row r="16" spans="1:15" ht="15.75" x14ac:dyDescent="0.25">
      <c r="A16" s="64"/>
      <c r="B16" s="11" t="s">
        <v>296</v>
      </c>
      <c r="C16" s="11" t="s">
        <v>37</v>
      </c>
      <c r="D16" s="12">
        <v>0.79800000000000004</v>
      </c>
      <c r="E16" s="11">
        <v>19.95</v>
      </c>
      <c r="F16" s="35">
        <v>1.8</v>
      </c>
      <c r="G16" s="11" t="s">
        <v>16</v>
      </c>
      <c r="H16" s="11" t="s">
        <v>283</v>
      </c>
      <c r="I16" s="13" t="s">
        <v>231</v>
      </c>
      <c r="J16" s="57" t="s">
        <v>286</v>
      </c>
      <c r="K16" s="63">
        <f t="shared" si="0"/>
        <v>19.950000000000003</v>
      </c>
      <c r="L16">
        <f t="shared" si="1"/>
        <v>6.2656641604010019</v>
      </c>
      <c r="M16">
        <f t="shared" si="2"/>
        <v>14.950000000000001</v>
      </c>
      <c r="N16" s="63" t="s">
        <v>485</v>
      </c>
      <c r="O16" s="35">
        <v>1.8</v>
      </c>
    </row>
    <row r="17" spans="1:15" ht="15.75" x14ac:dyDescent="0.25">
      <c r="A17" s="64"/>
      <c r="B17" s="11" t="s">
        <v>301</v>
      </c>
      <c r="C17" s="11" t="s">
        <v>38</v>
      </c>
      <c r="D17" s="12">
        <v>0.38800000000000001</v>
      </c>
      <c r="E17" s="10"/>
      <c r="F17" s="35">
        <v>1.7</v>
      </c>
      <c r="G17" s="11" t="s">
        <v>16</v>
      </c>
      <c r="H17" s="11"/>
      <c r="I17" s="13" t="s">
        <v>231</v>
      </c>
      <c r="J17" s="40">
        <v>9.6999999999999993</v>
      </c>
      <c r="K17" s="63">
        <f t="shared" si="0"/>
        <v>9.7000000000000011</v>
      </c>
      <c r="L17">
        <f t="shared" si="1"/>
        <v>12.88659793814433</v>
      </c>
      <c r="M17">
        <f t="shared" si="2"/>
        <v>4.7</v>
      </c>
      <c r="N17" s="63" t="s">
        <v>485</v>
      </c>
      <c r="O17" s="35">
        <v>1.7</v>
      </c>
    </row>
    <row r="18" spans="1:15" ht="15.75" x14ac:dyDescent="0.25">
      <c r="A18" s="64"/>
      <c r="B18" s="11" t="s">
        <v>302</v>
      </c>
      <c r="C18" s="13" t="s">
        <v>40</v>
      </c>
      <c r="D18" s="12">
        <v>0.875</v>
      </c>
      <c r="E18" s="10"/>
      <c r="F18" s="35">
        <v>1.7</v>
      </c>
      <c r="G18" s="11" t="s">
        <v>16</v>
      </c>
      <c r="H18" s="10"/>
      <c r="I18" s="11" t="s">
        <v>231</v>
      </c>
      <c r="J18" s="54">
        <v>21.875</v>
      </c>
      <c r="K18" s="63">
        <f t="shared" si="0"/>
        <v>21.875</v>
      </c>
      <c r="L18">
        <f t="shared" si="1"/>
        <v>5.7142857142857144</v>
      </c>
      <c r="M18">
        <f t="shared" si="2"/>
        <v>16.875</v>
      </c>
      <c r="N18" s="63" t="s">
        <v>485</v>
      </c>
      <c r="O18" s="35">
        <v>1.7</v>
      </c>
    </row>
    <row r="19" spans="1:15" ht="15.75" x14ac:dyDescent="0.25">
      <c r="A19" s="64"/>
      <c r="B19" s="11" t="s">
        <v>382</v>
      </c>
      <c r="C19" s="13" t="s">
        <v>182</v>
      </c>
      <c r="D19" s="12">
        <v>1.25</v>
      </c>
      <c r="E19" s="11">
        <v>16</v>
      </c>
      <c r="F19" s="31">
        <v>2</v>
      </c>
      <c r="G19" s="11" t="s">
        <v>16</v>
      </c>
      <c r="H19" s="11" t="s">
        <v>283</v>
      </c>
      <c r="I19" s="11" t="s">
        <v>231</v>
      </c>
      <c r="J19" s="33"/>
      <c r="K19" s="63">
        <f t="shared" si="0"/>
        <v>31.25</v>
      </c>
      <c r="L19">
        <f t="shared" si="1"/>
        <v>4</v>
      </c>
      <c r="M19">
        <f t="shared" si="2"/>
        <v>26.25</v>
      </c>
      <c r="N19" s="63" t="s">
        <v>485</v>
      </c>
      <c r="O19" s="31">
        <v>2</v>
      </c>
    </row>
    <row r="20" spans="1:15" ht="15.75" x14ac:dyDescent="0.25">
      <c r="A20" s="64"/>
      <c r="B20" s="11" t="s">
        <v>383</v>
      </c>
      <c r="C20" s="13" t="s">
        <v>183</v>
      </c>
      <c r="D20" s="12">
        <v>0.311</v>
      </c>
      <c r="E20" s="11">
        <v>17</v>
      </c>
      <c r="F20" s="35">
        <v>1.9</v>
      </c>
      <c r="G20" s="11" t="s">
        <v>16</v>
      </c>
      <c r="H20" s="11" t="s">
        <v>283</v>
      </c>
      <c r="I20" s="11" t="s">
        <v>231</v>
      </c>
      <c r="J20" s="33"/>
      <c r="K20" s="63">
        <f t="shared" si="0"/>
        <v>7.7750000000000004</v>
      </c>
      <c r="L20">
        <f t="shared" si="1"/>
        <v>16.077170418006432</v>
      </c>
      <c r="M20">
        <f t="shared" si="2"/>
        <v>2.7749999999999995</v>
      </c>
      <c r="N20" s="63" t="s">
        <v>485</v>
      </c>
      <c r="O20" s="35">
        <v>1.9</v>
      </c>
    </row>
    <row r="21" spans="1:15" ht="15.75" x14ac:dyDescent="0.25">
      <c r="A21" s="64"/>
      <c r="B21" s="11" t="s">
        <v>384</v>
      </c>
      <c r="C21" s="13" t="s">
        <v>184</v>
      </c>
      <c r="D21" s="12">
        <v>0.40799999999999997</v>
      </c>
      <c r="E21" s="11">
        <v>18</v>
      </c>
      <c r="F21" s="35">
        <v>1.9</v>
      </c>
      <c r="G21" s="11" t="s">
        <v>16</v>
      </c>
      <c r="H21" s="11" t="s">
        <v>283</v>
      </c>
      <c r="I21" s="11" t="s">
        <v>231</v>
      </c>
      <c r="J21" s="33"/>
      <c r="K21" s="63">
        <f t="shared" si="0"/>
        <v>10.199999999999999</v>
      </c>
      <c r="L21">
        <f t="shared" si="1"/>
        <v>12.254901960784315</v>
      </c>
      <c r="M21">
        <f t="shared" si="2"/>
        <v>5.1999999999999993</v>
      </c>
      <c r="N21" s="63" t="s">
        <v>485</v>
      </c>
      <c r="O21" s="35">
        <v>1.9</v>
      </c>
    </row>
    <row r="22" spans="1:15" ht="15.75" x14ac:dyDescent="0.25">
      <c r="A22" s="64"/>
      <c r="B22" s="11" t="s">
        <v>385</v>
      </c>
      <c r="C22" s="11" t="s">
        <v>185</v>
      </c>
      <c r="D22" s="17">
        <v>0.46200000000000002</v>
      </c>
      <c r="E22" s="11">
        <v>19</v>
      </c>
      <c r="F22" s="31">
        <v>2</v>
      </c>
      <c r="G22" s="11" t="s">
        <v>16</v>
      </c>
      <c r="H22" s="18" t="s">
        <v>283</v>
      </c>
      <c r="I22" s="11" t="s">
        <v>231</v>
      </c>
      <c r="J22" s="13"/>
      <c r="K22" s="63">
        <f t="shared" si="0"/>
        <v>11.55</v>
      </c>
      <c r="L22">
        <f t="shared" si="1"/>
        <v>10.822510822510822</v>
      </c>
      <c r="M22">
        <f t="shared" si="2"/>
        <v>6.5500000000000007</v>
      </c>
      <c r="N22" s="63" t="s">
        <v>485</v>
      </c>
      <c r="O22" s="31">
        <v>2</v>
      </c>
    </row>
    <row r="23" spans="1:15" ht="15.75" x14ac:dyDescent="0.25">
      <c r="A23" s="64"/>
      <c r="B23" s="13" t="s">
        <v>386</v>
      </c>
      <c r="C23" s="11" t="s">
        <v>186</v>
      </c>
      <c r="D23" s="17">
        <v>0.42299999999999999</v>
      </c>
      <c r="E23" s="11">
        <v>20</v>
      </c>
      <c r="F23" s="31">
        <v>2</v>
      </c>
      <c r="G23" s="11" t="s">
        <v>16</v>
      </c>
      <c r="H23" s="18" t="s">
        <v>283</v>
      </c>
      <c r="I23" s="11" t="s">
        <v>231</v>
      </c>
      <c r="J23" s="13"/>
      <c r="K23" s="63">
        <f t="shared" si="0"/>
        <v>10.574999999999999</v>
      </c>
      <c r="L23">
        <f t="shared" si="1"/>
        <v>11.82033096926714</v>
      </c>
      <c r="M23">
        <f t="shared" si="2"/>
        <v>5.5750000000000002</v>
      </c>
      <c r="N23" s="63" t="s">
        <v>485</v>
      </c>
      <c r="O23" s="31">
        <v>2</v>
      </c>
    </row>
    <row r="24" spans="1:15" ht="15.75" x14ac:dyDescent="0.25">
      <c r="A24" s="64" t="s">
        <v>308</v>
      </c>
      <c r="B24" s="11" t="s">
        <v>309</v>
      </c>
      <c r="C24" s="13" t="s">
        <v>41</v>
      </c>
      <c r="D24" s="12">
        <v>0.73399999999999999</v>
      </c>
      <c r="E24" s="11">
        <v>20</v>
      </c>
      <c r="F24" s="31">
        <v>2</v>
      </c>
      <c r="G24" s="11" t="s">
        <v>16</v>
      </c>
      <c r="H24" s="11"/>
      <c r="I24" s="11" t="s">
        <v>231</v>
      </c>
      <c r="J24" s="55"/>
      <c r="K24" s="63">
        <f t="shared" si="0"/>
        <v>18.350000000000001</v>
      </c>
      <c r="L24">
        <f t="shared" si="1"/>
        <v>6.8119891008174385</v>
      </c>
      <c r="M24">
        <f t="shared" si="2"/>
        <v>13.35</v>
      </c>
      <c r="N24" s="63" t="s">
        <v>485</v>
      </c>
      <c r="O24" s="31">
        <v>2</v>
      </c>
    </row>
    <row r="25" spans="1:15" ht="15.75" x14ac:dyDescent="0.25">
      <c r="A25" s="64"/>
      <c r="B25" s="11" t="s">
        <v>310</v>
      </c>
      <c r="C25" s="13" t="s">
        <v>43</v>
      </c>
      <c r="D25" s="12">
        <v>0.29399999999999998</v>
      </c>
      <c r="E25" s="11">
        <v>21</v>
      </c>
      <c r="F25" s="35">
        <v>1.9</v>
      </c>
      <c r="G25" s="11" t="s">
        <v>16</v>
      </c>
      <c r="H25" s="11"/>
      <c r="I25" s="11" t="s">
        <v>231</v>
      </c>
      <c r="J25" s="40"/>
      <c r="K25" s="63">
        <f t="shared" si="0"/>
        <v>7.35</v>
      </c>
      <c r="L25">
        <f t="shared" si="1"/>
        <v>17.006802721088437</v>
      </c>
      <c r="M25">
        <f t="shared" si="2"/>
        <v>2.3499999999999992</v>
      </c>
      <c r="N25" s="63" t="s">
        <v>485</v>
      </c>
      <c r="O25" s="35">
        <v>1.9</v>
      </c>
    </row>
    <row r="26" spans="1:15" ht="15.75" x14ac:dyDescent="0.25">
      <c r="A26" s="64"/>
      <c r="B26" s="11" t="s">
        <v>311</v>
      </c>
      <c r="C26" s="13" t="s">
        <v>44</v>
      </c>
      <c r="D26" s="12">
        <v>0.33100000000000002</v>
      </c>
      <c r="E26" s="11">
        <v>22</v>
      </c>
      <c r="F26" s="35">
        <v>1.5</v>
      </c>
      <c r="G26" s="11" t="s">
        <v>16</v>
      </c>
      <c r="H26" s="11"/>
      <c r="I26" s="11" t="s">
        <v>231</v>
      </c>
      <c r="J26" s="40"/>
      <c r="K26" s="63">
        <f t="shared" si="0"/>
        <v>8.2750000000000004</v>
      </c>
      <c r="L26">
        <f t="shared" si="1"/>
        <v>15.105740181268882</v>
      </c>
      <c r="M26">
        <f t="shared" si="2"/>
        <v>3.2750000000000004</v>
      </c>
      <c r="N26" s="63" t="s">
        <v>485</v>
      </c>
      <c r="O26" s="35">
        <v>1.5</v>
      </c>
    </row>
    <row r="27" spans="1:15" ht="15.75" x14ac:dyDescent="0.25">
      <c r="A27" s="64"/>
      <c r="B27" s="11" t="s">
        <v>312</v>
      </c>
      <c r="C27" s="13" t="s">
        <v>45</v>
      </c>
      <c r="D27" s="12">
        <v>0.51200000000000001</v>
      </c>
      <c r="E27" s="11">
        <v>23</v>
      </c>
      <c r="F27" s="31">
        <v>2</v>
      </c>
      <c r="G27" s="11" t="s">
        <v>16</v>
      </c>
      <c r="H27" s="11"/>
      <c r="I27" s="11" t="s">
        <v>231</v>
      </c>
      <c r="J27" s="40"/>
      <c r="K27" s="63">
        <f t="shared" si="0"/>
        <v>12.8</v>
      </c>
      <c r="L27">
        <f t="shared" si="1"/>
        <v>9.765625</v>
      </c>
      <c r="M27">
        <f t="shared" si="2"/>
        <v>7.8</v>
      </c>
      <c r="N27" s="63" t="s">
        <v>485</v>
      </c>
      <c r="O27" s="31">
        <v>2</v>
      </c>
    </row>
    <row r="28" spans="1:15" ht="15.75" x14ac:dyDescent="0.25">
      <c r="A28" s="64"/>
      <c r="B28" s="11" t="s">
        <v>313</v>
      </c>
      <c r="C28" s="11" t="s">
        <v>46</v>
      </c>
      <c r="D28" s="12">
        <v>0.47299999999999998</v>
      </c>
      <c r="E28" s="11">
        <v>24</v>
      </c>
      <c r="F28" s="35">
        <v>1.5</v>
      </c>
      <c r="G28" s="11" t="s">
        <v>16</v>
      </c>
      <c r="H28" s="11"/>
      <c r="I28" s="11" t="s">
        <v>231</v>
      </c>
      <c r="J28" s="54"/>
      <c r="K28" s="63">
        <f t="shared" si="0"/>
        <v>11.824999999999999</v>
      </c>
      <c r="L28">
        <f t="shared" si="1"/>
        <v>10.570824524312897</v>
      </c>
      <c r="M28">
        <f t="shared" si="2"/>
        <v>6.8249999999999993</v>
      </c>
      <c r="N28" s="63" t="s">
        <v>485</v>
      </c>
      <c r="O28" s="35">
        <v>1.5</v>
      </c>
    </row>
    <row r="29" spans="1:15" ht="15.75" x14ac:dyDescent="0.25">
      <c r="A29" s="64"/>
      <c r="B29" s="11" t="s">
        <v>314</v>
      </c>
      <c r="C29" s="11" t="s">
        <v>47</v>
      </c>
      <c r="D29" s="12">
        <v>0.32300000000000001</v>
      </c>
      <c r="E29" s="11">
        <v>25</v>
      </c>
      <c r="F29" s="35">
        <v>1.5</v>
      </c>
      <c r="G29" s="11" t="s">
        <v>16</v>
      </c>
      <c r="H29" s="11"/>
      <c r="I29" s="11" t="s">
        <v>231</v>
      </c>
      <c r="J29" s="54"/>
      <c r="K29" s="63">
        <f t="shared" si="0"/>
        <v>8.0750000000000011</v>
      </c>
      <c r="L29">
        <f t="shared" si="1"/>
        <v>15.479876160990711</v>
      </c>
      <c r="M29">
        <f t="shared" si="2"/>
        <v>3.0750000000000002</v>
      </c>
      <c r="N29" s="63" t="s">
        <v>485</v>
      </c>
      <c r="O29" s="35">
        <v>1.5</v>
      </c>
    </row>
    <row r="30" spans="1:15" ht="15.75" x14ac:dyDescent="0.25">
      <c r="A30" s="64"/>
      <c r="B30" s="20" t="s">
        <v>315</v>
      </c>
      <c r="C30" s="20" t="s">
        <v>48</v>
      </c>
      <c r="D30" s="21">
        <v>1.1100000000000001</v>
      </c>
      <c r="E30" s="11">
        <v>26</v>
      </c>
      <c r="F30" s="72">
        <v>1.7</v>
      </c>
      <c r="G30" s="20" t="s">
        <v>16</v>
      </c>
      <c r="H30" s="20"/>
      <c r="I30" s="20" t="s">
        <v>231</v>
      </c>
      <c r="J30" s="40"/>
      <c r="K30" s="63">
        <f t="shared" si="0"/>
        <v>27.750000000000004</v>
      </c>
      <c r="L30">
        <f t="shared" si="1"/>
        <v>4.5045045045045038</v>
      </c>
      <c r="M30">
        <f t="shared" si="2"/>
        <v>22.750000000000004</v>
      </c>
      <c r="N30" s="63" t="s">
        <v>485</v>
      </c>
      <c r="O30" s="72">
        <v>1.7</v>
      </c>
    </row>
    <row r="31" spans="1:15" ht="15.75" x14ac:dyDescent="0.25">
      <c r="A31" s="64"/>
      <c r="B31" s="11" t="s">
        <v>387</v>
      </c>
      <c r="C31" s="11" t="s">
        <v>187</v>
      </c>
      <c r="D31" s="12">
        <v>0.40400000000000003</v>
      </c>
      <c r="E31" s="11">
        <v>21</v>
      </c>
      <c r="F31" s="35">
        <v>1.8</v>
      </c>
      <c r="G31" s="11" t="s">
        <v>16</v>
      </c>
      <c r="H31" s="11" t="s">
        <v>283</v>
      </c>
      <c r="I31" s="11" t="s">
        <v>231</v>
      </c>
      <c r="J31" s="13"/>
      <c r="K31" s="63">
        <f t="shared" si="0"/>
        <v>10.100000000000001</v>
      </c>
      <c r="L31">
        <f t="shared" si="1"/>
        <v>12.376237623762375</v>
      </c>
      <c r="M31">
        <f t="shared" si="2"/>
        <v>5.1000000000000005</v>
      </c>
      <c r="N31" s="63" t="s">
        <v>485</v>
      </c>
      <c r="O31" s="35">
        <v>1.8</v>
      </c>
    </row>
    <row r="32" spans="1:15" ht="15.75" x14ac:dyDescent="0.25">
      <c r="A32" s="64"/>
      <c r="B32" s="11" t="s">
        <v>388</v>
      </c>
      <c r="C32" s="11" t="s">
        <v>188</v>
      </c>
      <c r="D32" s="12">
        <v>0.57199999999999995</v>
      </c>
      <c r="E32" s="11">
        <v>22</v>
      </c>
      <c r="F32" s="35">
        <v>1.7</v>
      </c>
      <c r="G32" s="11" t="s">
        <v>16</v>
      </c>
      <c r="H32" s="11" t="s">
        <v>283</v>
      </c>
      <c r="I32" s="11" t="s">
        <v>231</v>
      </c>
      <c r="J32" s="13"/>
      <c r="K32" s="63">
        <f t="shared" si="0"/>
        <v>14.299999999999999</v>
      </c>
      <c r="L32">
        <f t="shared" si="1"/>
        <v>8.7412587412587417</v>
      </c>
      <c r="M32">
        <f t="shared" si="2"/>
        <v>9.3000000000000007</v>
      </c>
      <c r="N32" s="63" t="s">
        <v>485</v>
      </c>
      <c r="O32" s="35">
        <v>1.7</v>
      </c>
    </row>
    <row r="33" spans="1:15" ht="15.75" x14ac:dyDescent="0.25">
      <c r="A33" s="64"/>
      <c r="B33" s="11" t="s">
        <v>389</v>
      </c>
      <c r="C33" s="11" t="s">
        <v>189</v>
      </c>
      <c r="D33" s="12">
        <v>0.247</v>
      </c>
      <c r="E33" s="11">
        <v>23</v>
      </c>
      <c r="F33" s="35">
        <v>1.7</v>
      </c>
      <c r="G33" s="11" t="s">
        <v>16</v>
      </c>
      <c r="H33" s="11" t="s">
        <v>283</v>
      </c>
      <c r="I33" s="11" t="s">
        <v>231</v>
      </c>
      <c r="J33" s="13"/>
      <c r="K33" s="63">
        <f t="shared" si="0"/>
        <v>6.1749999999999998</v>
      </c>
      <c r="L33">
        <f t="shared" si="1"/>
        <v>18</v>
      </c>
      <c r="M33">
        <f t="shared" si="2"/>
        <v>1.7290000000000001</v>
      </c>
      <c r="N33" s="63" t="s">
        <v>481</v>
      </c>
      <c r="O33" s="35">
        <v>1.7</v>
      </c>
    </row>
    <row r="34" spans="1:15" ht="15.75" x14ac:dyDescent="0.25">
      <c r="A34" s="64"/>
      <c r="B34" s="11" t="s">
        <v>390</v>
      </c>
      <c r="C34" s="11" t="s">
        <v>190</v>
      </c>
      <c r="D34" s="12">
        <v>0.56899999999999995</v>
      </c>
      <c r="E34" s="11">
        <v>24</v>
      </c>
      <c r="F34" s="35">
        <v>1.5</v>
      </c>
      <c r="G34" s="11" t="s">
        <v>16</v>
      </c>
      <c r="H34" s="11" t="s">
        <v>283</v>
      </c>
      <c r="I34" s="11" t="s">
        <v>231</v>
      </c>
      <c r="J34" s="13"/>
      <c r="K34" s="63">
        <f t="shared" ref="K34:K65" si="3">D34*25</f>
        <v>14.224999999999998</v>
      </c>
      <c r="L34">
        <f t="shared" si="1"/>
        <v>8.7873462214411262</v>
      </c>
      <c r="M34">
        <f t="shared" si="2"/>
        <v>9.2249999999999979</v>
      </c>
      <c r="N34" s="63" t="s">
        <v>485</v>
      </c>
      <c r="O34" s="35">
        <v>1.5</v>
      </c>
    </row>
    <row r="35" spans="1:15" ht="15.75" x14ac:dyDescent="0.25">
      <c r="A35" s="64"/>
      <c r="B35" s="37" t="s">
        <v>316</v>
      </c>
      <c r="C35" s="11" t="s">
        <v>49</v>
      </c>
      <c r="D35" s="12">
        <v>0.44500000000000001</v>
      </c>
      <c r="E35" s="11">
        <v>11.125</v>
      </c>
      <c r="F35" s="31">
        <v>2</v>
      </c>
      <c r="G35" s="11" t="s">
        <v>16</v>
      </c>
      <c r="H35" s="11" t="s">
        <v>283</v>
      </c>
      <c r="I35" s="11" t="s">
        <v>241</v>
      </c>
      <c r="J35" s="40"/>
      <c r="K35" s="63">
        <f t="shared" si="3"/>
        <v>11.125</v>
      </c>
      <c r="L35">
        <f t="shared" si="1"/>
        <v>11.235955056179774</v>
      </c>
      <c r="M35">
        <f t="shared" si="2"/>
        <v>6.1250000000000009</v>
      </c>
      <c r="N35" s="63" t="s">
        <v>485</v>
      </c>
      <c r="O35" s="31">
        <v>2</v>
      </c>
    </row>
    <row r="36" spans="1:15" ht="15.75" x14ac:dyDescent="0.25">
      <c r="A36" s="64"/>
      <c r="B36" s="37" t="s">
        <v>317</v>
      </c>
      <c r="C36" s="11" t="s">
        <v>50</v>
      </c>
      <c r="D36" s="12">
        <v>0.21099999999999999</v>
      </c>
      <c r="E36" s="35">
        <v>5.2750000000000004</v>
      </c>
      <c r="F36" s="31">
        <v>2</v>
      </c>
      <c r="G36" s="11" t="s">
        <v>16</v>
      </c>
      <c r="H36" s="11" t="s">
        <v>283</v>
      </c>
      <c r="I36" s="11" t="s">
        <v>241</v>
      </c>
      <c r="J36" s="40"/>
      <c r="K36" s="63">
        <f t="shared" si="3"/>
        <v>5.2749999999999995</v>
      </c>
      <c r="L36">
        <f t="shared" si="1"/>
        <v>18</v>
      </c>
      <c r="M36">
        <f t="shared" si="2"/>
        <v>1.4769999999999999</v>
      </c>
      <c r="N36" s="63" t="s">
        <v>481</v>
      </c>
      <c r="O36" s="31">
        <v>2</v>
      </c>
    </row>
    <row r="37" spans="1:15" ht="15.75" x14ac:dyDescent="0.25">
      <c r="A37" s="64"/>
      <c r="B37" s="37" t="s">
        <v>318</v>
      </c>
      <c r="C37" s="11" t="s">
        <v>51</v>
      </c>
      <c r="D37" s="12">
        <v>0.56599999999999995</v>
      </c>
      <c r="E37" s="11">
        <v>14.15</v>
      </c>
      <c r="F37" s="31">
        <v>2</v>
      </c>
      <c r="G37" s="11" t="s">
        <v>16</v>
      </c>
      <c r="H37" s="11" t="s">
        <v>283</v>
      </c>
      <c r="I37" s="11" t="s">
        <v>241</v>
      </c>
      <c r="J37" s="40"/>
      <c r="K37" s="63">
        <f t="shared" si="3"/>
        <v>14.149999999999999</v>
      </c>
      <c r="L37">
        <f t="shared" si="1"/>
        <v>8.8339222614840995</v>
      </c>
      <c r="M37">
        <f t="shared" si="2"/>
        <v>9.15</v>
      </c>
      <c r="N37" s="63" t="s">
        <v>485</v>
      </c>
      <c r="O37" s="31">
        <v>2</v>
      </c>
    </row>
    <row r="38" spans="1:15" ht="15.75" x14ac:dyDescent="0.25">
      <c r="A38" s="64"/>
      <c r="B38" s="37" t="s">
        <v>319</v>
      </c>
      <c r="C38" s="11" t="s">
        <v>52</v>
      </c>
      <c r="D38" s="12">
        <v>0.249</v>
      </c>
      <c r="E38" s="35">
        <v>6.2249999999999996</v>
      </c>
      <c r="F38" s="31">
        <v>2</v>
      </c>
      <c r="G38" s="11" t="s">
        <v>16</v>
      </c>
      <c r="H38" s="11" t="s">
        <v>283</v>
      </c>
      <c r="I38" s="11" t="s">
        <v>241</v>
      </c>
      <c r="J38" s="40"/>
      <c r="K38" s="63">
        <f t="shared" si="3"/>
        <v>6.2249999999999996</v>
      </c>
      <c r="L38">
        <f t="shared" si="1"/>
        <v>18</v>
      </c>
      <c r="M38">
        <f t="shared" si="2"/>
        <v>1.7429999999999999</v>
      </c>
      <c r="N38" s="63" t="s">
        <v>481</v>
      </c>
      <c r="O38" s="31">
        <v>2</v>
      </c>
    </row>
    <row r="39" spans="1:15" ht="15.75" x14ac:dyDescent="0.25">
      <c r="A39" s="22"/>
      <c r="B39" s="18" t="s">
        <v>326</v>
      </c>
      <c r="C39" s="13" t="s">
        <v>53</v>
      </c>
      <c r="D39" s="12">
        <v>0.30199999999999999</v>
      </c>
      <c r="E39" s="11">
        <v>28</v>
      </c>
      <c r="F39" s="35">
        <v>1.5</v>
      </c>
      <c r="G39" s="11" t="s">
        <v>16</v>
      </c>
      <c r="H39" s="11" t="s">
        <v>283</v>
      </c>
      <c r="I39" s="13" t="s">
        <v>241</v>
      </c>
      <c r="J39" s="58"/>
      <c r="K39" s="63">
        <f t="shared" si="3"/>
        <v>7.55</v>
      </c>
      <c r="L39">
        <f t="shared" si="1"/>
        <v>16.556291390728479</v>
      </c>
      <c r="M39">
        <f t="shared" si="2"/>
        <v>2.5499999999999994</v>
      </c>
      <c r="N39" s="63" t="s">
        <v>485</v>
      </c>
      <c r="O39" s="35">
        <v>1.5</v>
      </c>
    </row>
    <row r="40" spans="1:15" ht="15.75" x14ac:dyDescent="0.25">
      <c r="A40" s="22"/>
      <c r="B40" s="18" t="s">
        <v>327</v>
      </c>
      <c r="C40" s="13" t="s">
        <v>55</v>
      </c>
      <c r="D40" s="12">
        <v>0.32200000000000001</v>
      </c>
      <c r="E40" s="11">
        <v>29</v>
      </c>
      <c r="F40" s="35">
        <v>1.5</v>
      </c>
      <c r="G40" s="11" t="s">
        <v>16</v>
      </c>
      <c r="H40" s="11" t="s">
        <v>283</v>
      </c>
      <c r="I40" s="13" t="s">
        <v>241</v>
      </c>
      <c r="J40" s="58"/>
      <c r="K40" s="63">
        <f t="shared" si="3"/>
        <v>8.0500000000000007</v>
      </c>
      <c r="L40">
        <f t="shared" si="1"/>
        <v>15.527950310559007</v>
      </c>
      <c r="M40">
        <f t="shared" si="2"/>
        <v>3.05</v>
      </c>
      <c r="N40" s="63" t="s">
        <v>485</v>
      </c>
      <c r="O40" s="35">
        <v>1.5</v>
      </c>
    </row>
    <row r="41" spans="1:15" ht="15.75" x14ac:dyDescent="0.25">
      <c r="A41" s="40"/>
      <c r="B41" s="11" t="s">
        <v>328</v>
      </c>
      <c r="C41" s="11" t="s">
        <v>56</v>
      </c>
      <c r="D41" s="12">
        <v>0.21</v>
      </c>
      <c r="E41" s="11">
        <v>30</v>
      </c>
      <c r="F41" s="41">
        <v>2</v>
      </c>
      <c r="G41" s="11" t="s">
        <v>16</v>
      </c>
      <c r="H41" s="26" t="s">
        <v>283</v>
      </c>
      <c r="I41" s="11" t="s">
        <v>241</v>
      </c>
      <c r="J41" s="58"/>
      <c r="K41" s="63">
        <f t="shared" si="3"/>
        <v>5.25</v>
      </c>
      <c r="L41">
        <f t="shared" si="1"/>
        <v>18</v>
      </c>
      <c r="M41">
        <f t="shared" si="2"/>
        <v>1.47</v>
      </c>
      <c r="N41" s="63" t="s">
        <v>481</v>
      </c>
      <c r="O41" s="41">
        <v>2</v>
      </c>
    </row>
    <row r="42" spans="1:15" ht="15.75" x14ac:dyDescent="0.25">
      <c r="A42" s="40"/>
      <c r="B42" s="11" t="s">
        <v>329</v>
      </c>
      <c r="C42" s="11" t="s">
        <v>57</v>
      </c>
      <c r="D42" s="12">
        <v>0.33400000000000002</v>
      </c>
      <c r="E42" s="11">
        <v>31</v>
      </c>
      <c r="F42" s="73">
        <v>1.8</v>
      </c>
      <c r="G42" s="13" t="s">
        <v>16</v>
      </c>
      <c r="H42" s="11" t="s">
        <v>283</v>
      </c>
      <c r="I42" s="18" t="s">
        <v>241</v>
      </c>
      <c r="J42" s="58"/>
      <c r="K42" s="63">
        <f t="shared" si="3"/>
        <v>8.35</v>
      </c>
      <c r="L42">
        <f t="shared" si="1"/>
        <v>14.97005988023952</v>
      </c>
      <c r="M42">
        <f t="shared" si="2"/>
        <v>3.3500000000000005</v>
      </c>
      <c r="N42" s="63" t="s">
        <v>485</v>
      </c>
      <c r="O42" s="73">
        <v>1.8</v>
      </c>
    </row>
    <row r="43" spans="1:15" ht="15.75" x14ac:dyDescent="0.25">
      <c r="A43" s="40" t="s">
        <v>267</v>
      </c>
      <c r="B43" s="11" t="s">
        <v>331</v>
      </c>
      <c r="C43" s="11" t="s">
        <v>58</v>
      </c>
      <c r="D43" s="12">
        <v>0.60699999999999998</v>
      </c>
      <c r="E43" s="11">
        <v>33</v>
      </c>
      <c r="F43" s="41">
        <v>2</v>
      </c>
      <c r="G43" s="13" t="s">
        <v>16</v>
      </c>
      <c r="H43" s="11" t="s">
        <v>244</v>
      </c>
      <c r="I43" s="18" t="s">
        <v>241</v>
      </c>
      <c r="J43" s="58"/>
      <c r="K43" s="63">
        <f t="shared" si="3"/>
        <v>15.174999999999999</v>
      </c>
      <c r="L43">
        <f t="shared" si="1"/>
        <v>8.2372322899505761</v>
      </c>
      <c r="M43">
        <f t="shared" si="2"/>
        <v>10.175000000000001</v>
      </c>
      <c r="N43" s="63" t="s">
        <v>485</v>
      </c>
      <c r="O43" s="41">
        <v>2</v>
      </c>
    </row>
    <row r="44" spans="1:15" ht="15.75" x14ac:dyDescent="0.25">
      <c r="A44" s="40"/>
      <c r="B44" s="11" t="s">
        <v>332</v>
      </c>
      <c r="C44" s="11" t="s">
        <v>60</v>
      </c>
      <c r="D44" s="12">
        <v>0.42299999999999999</v>
      </c>
      <c r="E44" s="11">
        <v>34</v>
      </c>
      <c r="F44" s="41">
        <v>2</v>
      </c>
      <c r="G44" s="13" t="s">
        <v>16</v>
      </c>
      <c r="H44" s="11" t="s">
        <v>244</v>
      </c>
      <c r="I44" s="18" t="s">
        <v>241</v>
      </c>
      <c r="J44" s="58"/>
      <c r="K44" s="63">
        <f t="shared" si="3"/>
        <v>10.574999999999999</v>
      </c>
      <c r="L44">
        <f t="shared" si="1"/>
        <v>11.82033096926714</v>
      </c>
      <c r="M44">
        <f t="shared" si="2"/>
        <v>5.5750000000000002</v>
      </c>
      <c r="N44" s="63" t="s">
        <v>485</v>
      </c>
      <c r="O44" s="41">
        <v>2</v>
      </c>
    </row>
    <row r="45" spans="1:15" ht="15.75" x14ac:dyDescent="0.25">
      <c r="A45" s="28"/>
      <c r="B45" s="26" t="s">
        <v>333</v>
      </c>
      <c r="C45" s="26" t="s">
        <v>61</v>
      </c>
      <c r="D45" s="12">
        <v>0.32900000000000001</v>
      </c>
      <c r="E45" s="11">
        <v>35</v>
      </c>
      <c r="F45" s="71">
        <v>2</v>
      </c>
      <c r="G45" s="11" t="s">
        <v>16</v>
      </c>
      <c r="H45" s="11" t="s">
        <v>244</v>
      </c>
      <c r="I45" s="11" t="s">
        <v>241</v>
      </c>
      <c r="J45" s="58"/>
      <c r="K45" s="63">
        <f t="shared" si="3"/>
        <v>8.2249999999999996</v>
      </c>
      <c r="L45">
        <f t="shared" si="1"/>
        <v>15.19756838905775</v>
      </c>
      <c r="M45">
        <f t="shared" si="2"/>
        <v>3.2250000000000005</v>
      </c>
      <c r="N45" s="63" t="s">
        <v>485</v>
      </c>
      <c r="O45" s="71">
        <v>2</v>
      </c>
    </row>
    <row r="46" spans="1:15" ht="15.75" x14ac:dyDescent="0.25">
      <c r="A46" s="10"/>
      <c r="B46" s="11" t="s">
        <v>330</v>
      </c>
      <c r="C46" s="11" t="s">
        <v>62</v>
      </c>
      <c r="D46" s="12">
        <v>0.40500000000000003</v>
      </c>
      <c r="E46" s="11">
        <v>32</v>
      </c>
      <c r="F46" s="35">
        <v>1.5</v>
      </c>
      <c r="G46" s="18" t="s">
        <v>16</v>
      </c>
      <c r="H46" s="11" t="s">
        <v>283</v>
      </c>
      <c r="I46" s="11" t="s">
        <v>241</v>
      </c>
      <c r="J46" s="58"/>
      <c r="K46" s="63">
        <f t="shared" si="3"/>
        <v>10.125</v>
      </c>
      <c r="L46">
        <f t="shared" si="1"/>
        <v>12.345679012345679</v>
      </c>
      <c r="M46">
        <f t="shared" si="2"/>
        <v>5.125</v>
      </c>
      <c r="N46" s="63" t="s">
        <v>485</v>
      </c>
      <c r="O46" s="35">
        <v>1.5</v>
      </c>
    </row>
    <row r="47" spans="1:15" ht="15.75" x14ac:dyDescent="0.25">
      <c r="A47" s="10"/>
      <c r="B47" s="11" t="s">
        <v>334</v>
      </c>
      <c r="C47" s="11" t="s">
        <v>63</v>
      </c>
      <c r="D47" s="12">
        <v>0.57499999999999996</v>
      </c>
      <c r="E47" s="11">
        <v>36</v>
      </c>
      <c r="F47" s="35">
        <v>1.9</v>
      </c>
      <c r="G47" s="18" t="s">
        <v>16</v>
      </c>
      <c r="H47" s="11" t="s">
        <v>244</v>
      </c>
      <c r="I47" s="11" t="s">
        <v>241</v>
      </c>
      <c r="J47" s="13"/>
      <c r="K47" s="63">
        <f t="shared" si="3"/>
        <v>14.374999999999998</v>
      </c>
      <c r="L47">
        <f t="shared" si="1"/>
        <v>8.6956521739130448</v>
      </c>
      <c r="M47">
        <f t="shared" si="2"/>
        <v>9.3749999999999982</v>
      </c>
      <c r="N47" s="63" t="s">
        <v>485</v>
      </c>
      <c r="O47" s="35">
        <v>1.9</v>
      </c>
    </row>
    <row r="48" spans="1:15" ht="15.75" x14ac:dyDescent="0.25">
      <c r="A48" s="10"/>
      <c r="B48" s="11" t="s">
        <v>335</v>
      </c>
      <c r="C48" s="11" t="s">
        <v>64</v>
      </c>
      <c r="D48" s="12">
        <v>0.48</v>
      </c>
      <c r="E48" s="11">
        <v>37</v>
      </c>
      <c r="F48" s="31">
        <v>2</v>
      </c>
      <c r="G48" s="18" t="s">
        <v>16</v>
      </c>
      <c r="H48" s="11" t="s">
        <v>244</v>
      </c>
      <c r="I48" s="11" t="s">
        <v>241</v>
      </c>
      <c r="J48" s="13"/>
      <c r="K48" s="63">
        <f t="shared" si="3"/>
        <v>12</v>
      </c>
      <c r="L48">
        <f t="shared" si="1"/>
        <v>10.416666666666668</v>
      </c>
      <c r="M48">
        <f t="shared" si="2"/>
        <v>6.9999999999999991</v>
      </c>
      <c r="N48" s="63" t="s">
        <v>485</v>
      </c>
      <c r="O48" s="31">
        <v>2</v>
      </c>
    </row>
    <row r="49" spans="1:15" ht="15.75" x14ac:dyDescent="0.25">
      <c r="A49" s="10"/>
      <c r="B49" s="11" t="s">
        <v>336</v>
      </c>
      <c r="C49" s="11" t="s">
        <v>65</v>
      </c>
      <c r="D49" s="12">
        <v>0.747</v>
      </c>
      <c r="E49" s="11">
        <v>38</v>
      </c>
      <c r="F49" s="31">
        <v>2</v>
      </c>
      <c r="G49" s="18" t="s">
        <v>16</v>
      </c>
      <c r="H49" s="11" t="s">
        <v>244</v>
      </c>
      <c r="I49" s="11" t="s">
        <v>241</v>
      </c>
      <c r="J49" s="13"/>
      <c r="K49" s="63">
        <f t="shared" si="3"/>
        <v>18.675000000000001</v>
      </c>
      <c r="L49">
        <f t="shared" si="1"/>
        <v>6.6934404283801872</v>
      </c>
      <c r="M49">
        <f t="shared" si="2"/>
        <v>13.675000000000001</v>
      </c>
      <c r="N49" s="63" t="s">
        <v>485</v>
      </c>
      <c r="O49" s="31">
        <v>2</v>
      </c>
    </row>
    <row r="50" spans="1:15" ht="15.75" x14ac:dyDescent="0.25">
      <c r="A50" s="10"/>
      <c r="B50" s="11" t="s">
        <v>337</v>
      </c>
      <c r="C50" s="11" t="s">
        <v>66</v>
      </c>
      <c r="D50" s="12">
        <v>0.379</v>
      </c>
      <c r="E50" s="11">
        <v>39</v>
      </c>
      <c r="F50" s="31">
        <v>2</v>
      </c>
      <c r="G50" s="18" t="s">
        <v>16</v>
      </c>
      <c r="H50" s="11" t="s">
        <v>244</v>
      </c>
      <c r="I50" s="11" t="s">
        <v>241</v>
      </c>
      <c r="J50" s="13"/>
      <c r="K50" s="63">
        <f t="shared" si="3"/>
        <v>9.4749999999999996</v>
      </c>
      <c r="L50">
        <f t="shared" si="1"/>
        <v>13.192612137203167</v>
      </c>
      <c r="M50">
        <f t="shared" si="2"/>
        <v>4.4749999999999996</v>
      </c>
      <c r="N50" s="63" t="s">
        <v>485</v>
      </c>
      <c r="O50" s="31">
        <v>2</v>
      </c>
    </row>
    <row r="51" spans="1:15" ht="15.75" x14ac:dyDescent="0.25">
      <c r="A51" s="10"/>
      <c r="B51" s="11" t="s">
        <v>338</v>
      </c>
      <c r="C51" s="11" t="s">
        <v>67</v>
      </c>
      <c r="D51" s="12">
        <v>0.20300000000000001</v>
      </c>
      <c r="E51" s="11">
        <v>40</v>
      </c>
      <c r="F51" s="31">
        <v>2</v>
      </c>
      <c r="G51" s="18" t="s">
        <v>16</v>
      </c>
      <c r="H51" s="26" t="s">
        <v>244</v>
      </c>
      <c r="I51" s="11" t="s">
        <v>241</v>
      </c>
      <c r="J51" s="13"/>
      <c r="K51" s="63">
        <f t="shared" si="3"/>
        <v>5.0750000000000002</v>
      </c>
      <c r="L51">
        <f t="shared" si="1"/>
        <v>18</v>
      </c>
      <c r="M51">
        <f t="shared" si="2"/>
        <v>1.421</v>
      </c>
      <c r="N51" s="63" t="s">
        <v>481</v>
      </c>
      <c r="O51" s="31">
        <v>2</v>
      </c>
    </row>
    <row r="52" spans="1:15" ht="15.75" x14ac:dyDescent="0.25">
      <c r="A52" s="28"/>
      <c r="B52" s="26" t="s">
        <v>343</v>
      </c>
      <c r="C52" s="26" t="s">
        <v>69</v>
      </c>
      <c r="D52" s="12">
        <v>0.27400000000000002</v>
      </c>
      <c r="E52" s="28"/>
      <c r="F52" s="36">
        <v>1.5</v>
      </c>
      <c r="G52" s="27" t="s">
        <v>16</v>
      </c>
      <c r="H52" s="26" t="s">
        <v>283</v>
      </c>
      <c r="I52" s="26" t="s">
        <v>241</v>
      </c>
      <c r="J52" s="77">
        <v>6.85</v>
      </c>
      <c r="K52" s="63">
        <f t="shared" si="3"/>
        <v>6.8500000000000005</v>
      </c>
      <c r="L52">
        <f t="shared" si="1"/>
        <v>18</v>
      </c>
      <c r="M52">
        <f t="shared" si="2"/>
        <v>1.9180000000000001</v>
      </c>
      <c r="N52" s="63" t="s">
        <v>481</v>
      </c>
      <c r="O52" s="36">
        <v>1.5</v>
      </c>
    </row>
    <row r="53" spans="1:15" ht="15.75" x14ac:dyDescent="0.25">
      <c r="A53" s="10"/>
      <c r="B53" s="11" t="s">
        <v>344</v>
      </c>
      <c r="C53" s="11" t="s">
        <v>70</v>
      </c>
      <c r="D53" s="17">
        <v>0.39300000000000002</v>
      </c>
      <c r="E53" s="10"/>
      <c r="F53" s="31">
        <v>2</v>
      </c>
      <c r="G53" s="11" t="s">
        <v>16</v>
      </c>
      <c r="H53" s="11" t="s">
        <v>283</v>
      </c>
      <c r="I53" s="11" t="s">
        <v>241</v>
      </c>
      <c r="J53" s="13">
        <v>9.8249999999999993</v>
      </c>
      <c r="K53" s="63">
        <f t="shared" si="3"/>
        <v>9.8250000000000011</v>
      </c>
      <c r="L53">
        <f t="shared" si="1"/>
        <v>12.72264631043257</v>
      </c>
      <c r="M53">
        <f t="shared" si="2"/>
        <v>4.8250000000000002</v>
      </c>
      <c r="N53" s="63" t="s">
        <v>485</v>
      </c>
      <c r="O53" s="31">
        <v>2</v>
      </c>
    </row>
    <row r="54" spans="1:15" ht="15.75" x14ac:dyDescent="0.25">
      <c r="A54" s="28"/>
      <c r="B54" s="26" t="s">
        <v>345</v>
      </c>
      <c r="C54" s="26" t="s">
        <v>71</v>
      </c>
      <c r="D54" s="29">
        <v>0.29799999999999999</v>
      </c>
      <c r="E54" s="28"/>
      <c r="F54" s="36">
        <v>1.6</v>
      </c>
      <c r="G54" s="26" t="s">
        <v>16</v>
      </c>
      <c r="H54" s="26" t="s">
        <v>283</v>
      </c>
      <c r="I54" s="26" t="s">
        <v>241</v>
      </c>
      <c r="J54" s="77">
        <v>7.45</v>
      </c>
      <c r="K54" s="63">
        <f t="shared" si="3"/>
        <v>7.4499999999999993</v>
      </c>
      <c r="L54">
        <f t="shared" si="1"/>
        <v>16.778523489932887</v>
      </c>
      <c r="M54">
        <f t="shared" si="2"/>
        <v>2.4499999999999997</v>
      </c>
      <c r="N54" s="63" t="s">
        <v>485</v>
      </c>
      <c r="O54" s="36">
        <v>1.6</v>
      </c>
    </row>
    <row r="55" spans="1:15" ht="15.75" x14ac:dyDescent="0.25">
      <c r="A55" s="10"/>
      <c r="B55" s="13" t="s">
        <v>346</v>
      </c>
      <c r="C55" s="13" t="s">
        <v>72</v>
      </c>
      <c r="D55" s="12">
        <v>0.77600000000000002</v>
      </c>
      <c r="E55" s="10"/>
      <c r="F55" s="35">
        <v>1.7</v>
      </c>
      <c r="G55" s="11" t="s">
        <v>16</v>
      </c>
      <c r="H55" s="18" t="s">
        <v>283</v>
      </c>
      <c r="I55" s="11" t="s">
        <v>241</v>
      </c>
      <c r="J55" s="13">
        <v>19.399999999999999</v>
      </c>
      <c r="K55" s="63">
        <f t="shared" si="3"/>
        <v>19.400000000000002</v>
      </c>
      <c r="L55">
        <f t="shared" si="1"/>
        <v>6.4432989690721651</v>
      </c>
      <c r="M55">
        <f t="shared" si="2"/>
        <v>14.399999999999999</v>
      </c>
      <c r="N55" s="63" t="s">
        <v>485</v>
      </c>
      <c r="O55" s="35">
        <v>1.7</v>
      </c>
    </row>
    <row r="56" spans="1:15" ht="15.75" x14ac:dyDescent="0.25">
      <c r="A56" s="28"/>
      <c r="B56" s="13" t="s">
        <v>347</v>
      </c>
      <c r="C56" s="13" t="s">
        <v>73</v>
      </c>
      <c r="D56" s="12">
        <v>0.77800000000000002</v>
      </c>
      <c r="E56" s="10"/>
      <c r="F56" s="35">
        <v>1.7</v>
      </c>
      <c r="G56" s="11" t="s">
        <v>16</v>
      </c>
      <c r="H56" s="27" t="s">
        <v>283</v>
      </c>
      <c r="I56" s="11" t="s">
        <v>241</v>
      </c>
      <c r="J56" s="13">
        <v>19.45</v>
      </c>
      <c r="K56" s="63">
        <f t="shared" si="3"/>
        <v>19.45</v>
      </c>
      <c r="L56">
        <f t="shared" si="1"/>
        <v>6.4267352185089974</v>
      </c>
      <c r="M56">
        <f t="shared" si="2"/>
        <v>14.45</v>
      </c>
      <c r="N56" s="63" t="s">
        <v>485</v>
      </c>
      <c r="O56" s="35">
        <v>1.7</v>
      </c>
    </row>
    <row r="57" spans="1:15" ht="15.75" x14ac:dyDescent="0.25">
      <c r="A57" s="10"/>
      <c r="B57" s="33" t="s">
        <v>352</v>
      </c>
      <c r="C57" s="13" t="s">
        <v>74</v>
      </c>
      <c r="D57" s="12">
        <v>0.72899999999999998</v>
      </c>
      <c r="E57" s="10"/>
      <c r="F57" s="35">
        <v>1.6</v>
      </c>
      <c r="G57" s="11" t="s">
        <v>16</v>
      </c>
      <c r="H57" s="18" t="s">
        <v>283</v>
      </c>
      <c r="I57" s="11" t="s">
        <v>231</v>
      </c>
      <c r="J57" s="13"/>
      <c r="K57" s="63">
        <f t="shared" si="3"/>
        <v>18.224999999999998</v>
      </c>
      <c r="L57">
        <f t="shared" si="1"/>
        <v>6.8587105624142666</v>
      </c>
      <c r="M57">
        <f t="shared" si="2"/>
        <v>13.225</v>
      </c>
      <c r="N57" s="63" t="s">
        <v>485</v>
      </c>
      <c r="O57" s="35">
        <v>1.6</v>
      </c>
    </row>
    <row r="58" spans="1:15" ht="15.75" x14ac:dyDescent="0.25">
      <c r="A58" s="10"/>
      <c r="B58" s="33" t="s">
        <v>353</v>
      </c>
      <c r="C58" s="13" t="s">
        <v>75</v>
      </c>
      <c r="D58" s="12">
        <v>0.25</v>
      </c>
      <c r="E58" s="10"/>
      <c r="F58" s="35">
        <v>1.6</v>
      </c>
      <c r="G58" s="11" t="s">
        <v>16</v>
      </c>
      <c r="H58" s="18" t="s">
        <v>283</v>
      </c>
      <c r="I58" s="11" t="s">
        <v>231</v>
      </c>
      <c r="J58" s="13"/>
      <c r="K58" s="63">
        <f t="shared" si="3"/>
        <v>6.25</v>
      </c>
      <c r="L58">
        <f t="shared" si="1"/>
        <v>18</v>
      </c>
      <c r="M58">
        <f t="shared" si="2"/>
        <v>1.75</v>
      </c>
      <c r="N58" s="63" t="s">
        <v>481</v>
      </c>
      <c r="O58" s="35">
        <v>1.6</v>
      </c>
    </row>
    <row r="59" spans="1:15" ht="15.75" x14ac:dyDescent="0.25">
      <c r="A59" s="10"/>
      <c r="B59" s="11" t="s">
        <v>354</v>
      </c>
      <c r="C59" s="11" t="s">
        <v>76</v>
      </c>
      <c r="D59" s="34">
        <v>1.24</v>
      </c>
      <c r="E59" s="10"/>
      <c r="F59" s="31">
        <v>2</v>
      </c>
      <c r="G59" s="11" t="s">
        <v>16</v>
      </c>
      <c r="H59" s="11" t="s">
        <v>283</v>
      </c>
      <c r="I59" s="18" t="s">
        <v>231</v>
      </c>
      <c r="J59" s="40"/>
      <c r="K59" s="63">
        <f t="shared" si="3"/>
        <v>31</v>
      </c>
      <c r="L59">
        <f t="shared" si="1"/>
        <v>4.032258064516129</v>
      </c>
      <c r="M59">
        <f t="shared" si="2"/>
        <v>26</v>
      </c>
      <c r="N59" s="63" t="s">
        <v>485</v>
      </c>
      <c r="O59" s="31">
        <v>2</v>
      </c>
    </row>
    <row r="60" spans="1:15" ht="15.75" x14ac:dyDescent="0.25">
      <c r="A60" s="10"/>
      <c r="B60" s="11" t="s">
        <v>355</v>
      </c>
      <c r="C60" s="11" t="s">
        <v>77</v>
      </c>
      <c r="D60" s="34">
        <v>0.57699999999999996</v>
      </c>
      <c r="E60" s="10"/>
      <c r="F60" s="31">
        <v>2</v>
      </c>
      <c r="G60" s="11" t="s">
        <v>16</v>
      </c>
      <c r="H60" s="11" t="s">
        <v>283</v>
      </c>
      <c r="I60" s="13" t="s">
        <v>231</v>
      </c>
      <c r="J60" s="40"/>
      <c r="K60" s="63">
        <f t="shared" si="3"/>
        <v>14.424999999999999</v>
      </c>
      <c r="L60">
        <f t="shared" si="1"/>
        <v>8.6655112651646462</v>
      </c>
      <c r="M60">
        <f t="shared" si="2"/>
        <v>9.4249999999999989</v>
      </c>
      <c r="N60" s="63" t="s">
        <v>485</v>
      </c>
      <c r="O60" s="31">
        <v>2</v>
      </c>
    </row>
    <row r="61" spans="1:15" ht="15.75" x14ac:dyDescent="0.25">
      <c r="A61" s="10"/>
      <c r="B61" s="11" t="s">
        <v>358</v>
      </c>
      <c r="C61" s="45" t="s">
        <v>79</v>
      </c>
      <c r="D61" s="34">
        <v>0.24399999999999999</v>
      </c>
      <c r="E61" s="11" t="s">
        <v>357</v>
      </c>
      <c r="F61" s="35">
        <v>1.8</v>
      </c>
      <c r="G61" s="11" t="s">
        <v>16</v>
      </c>
      <c r="H61" s="11" t="s">
        <v>283</v>
      </c>
      <c r="I61" s="13" t="s">
        <v>231</v>
      </c>
      <c r="J61" s="13"/>
      <c r="K61" s="63">
        <f t="shared" si="3"/>
        <v>6.1</v>
      </c>
      <c r="L61">
        <f t="shared" si="1"/>
        <v>18</v>
      </c>
      <c r="M61">
        <f t="shared" si="2"/>
        <v>1.708</v>
      </c>
      <c r="N61" s="63" t="s">
        <v>481</v>
      </c>
      <c r="O61" s="35">
        <v>1.8</v>
      </c>
    </row>
    <row r="62" spans="1:15" ht="15.75" x14ac:dyDescent="0.25">
      <c r="A62" s="10"/>
      <c r="B62" s="11" t="s">
        <v>359</v>
      </c>
      <c r="C62" s="45" t="s">
        <v>80</v>
      </c>
      <c r="D62" s="34">
        <v>1.34</v>
      </c>
      <c r="E62" s="11" t="s">
        <v>357</v>
      </c>
      <c r="F62" s="35">
        <v>1.5</v>
      </c>
      <c r="G62" s="11" t="s">
        <v>16</v>
      </c>
      <c r="H62" s="11" t="s">
        <v>283</v>
      </c>
      <c r="I62" s="13" t="s">
        <v>231</v>
      </c>
      <c r="J62" s="13"/>
      <c r="K62" s="63">
        <f t="shared" si="3"/>
        <v>33.5</v>
      </c>
      <c r="L62">
        <f t="shared" si="1"/>
        <v>3.7313432835820892</v>
      </c>
      <c r="M62">
        <f t="shared" si="2"/>
        <v>28.500000000000004</v>
      </c>
      <c r="N62" s="63" t="s">
        <v>485</v>
      </c>
      <c r="O62" s="35">
        <v>1.5</v>
      </c>
    </row>
    <row r="63" spans="1:15" ht="15.75" x14ac:dyDescent="0.25">
      <c r="A63" s="10"/>
      <c r="B63" s="11" t="s">
        <v>360</v>
      </c>
      <c r="C63" s="45" t="s">
        <v>81</v>
      </c>
      <c r="D63" s="34">
        <v>0.67</v>
      </c>
      <c r="E63" s="11" t="s">
        <v>357</v>
      </c>
      <c r="F63" s="31">
        <v>2</v>
      </c>
      <c r="G63" s="11" t="s">
        <v>16</v>
      </c>
      <c r="H63" s="11" t="s">
        <v>283</v>
      </c>
      <c r="I63" s="13" t="s">
        <v>231</v>
      </c>
      <c r="J63" s="40"/>
      <c r="K63" s="63">
        <f t="shared" si="3"/>
        <v>16.75</v>
      </c>
      <c r="L63">
        <f t="shared" si="1"/>
        <v>7.4626865671641784</v>
      </c>
      <c r="M63">
        <f t="shared" si="2"/>
        <v>11.750000000000002</v>
      </c>
      <c r="N63" s="63" t="s">
        <v>485</v>
      </c>
      <c r="O63" s="31">
        <v>2</v>
      </c>
    </row>
    <row r="64" spans="1:15" ht="15.75" x14ac:dyDescent="0.25">
      <c r="A64" s="10"/>
      <c r="B64" s="11" t="s">
        <v>361</v>
      </c>
      <c r="C64" s="45" t="s">
        <v>82</v>
      </c>
      <c r="D64" s="34">
        <v>0.495</v>
      </c>
      <c r="E64" s="11" t="s">
        <v>357</v>
      </c>
      <c r="F64" s="35">
        <v>1.6</v>
      </c>
      <c r="G64" s="11" t="s">
        <v>16</v>
      </c>
      <c r="H64" s="11" t="s">
        <v>283</v>
      </c>
      <c r="I64" s="13" t="s">
        <v>231</v>
      </c>
      <c r="J64" s="40"/>
      <c r="K64" s="63">
        <f t="shared" si="3"/>
        <v>12.375</v>
      </c>
      <c r="L64">
        <f t="shared" si="1"/>
        <v>10.1010101010101</v>
      </c>
      <c r="M64">
        <f t="shared" si="2"/>
        <v>7.375</v>
      </c>
      <c r="N64" s="63" t="s">
        <v>485</v>
      </c>
      <c r="O64" s="35">
        <v>1.6</v>
      </c>
    </row>
    <row r="65" spans="1:15" ht="15.75" x14ac:dyDescent="0.25">
      <c r="A65" s="10"/>
      <c r="B65" s="11" t="s">
        <v>362</v>
      </c>
      <c r="C65" s="45" t="s">
        <v>83</v>
      </c>
      <c r="D65" s="34">
        <v>0.44600000000000001</v>
      </c>
      <c r="E65" s="11" t="s">
        <v>357</v>
      </c>
      <c r="F65" s="35">
        <v>1.8</v>
      </c>
      <c r="G65" s="11" t="s">
        <v>16</v>
      </c>
      <c r="H65" s="11" t="s">
        <v>283</v>
      </c>
      <c r="I65" s="13" t="s">
        <v>231</v>
      </c>
      <c r="J65" s="40"/>
      <c r="K65" s="63">
        <f t="shared" si="3"/>
        <v>11.15</v>
      </c>
      <c r="L65">
        <f t="shared" si="1"/>
        <v>11.210762331838565</v>
      </c>
      <c r="M65">
        <f t="shared" ref="M65:M128" si="4">(25-L65)*D65</f>
        <v>6.15</v>
      </c>
      <c r="N65" s="63" t="s">
        <v>485</v>
      </c>
      <c r="O65" s="35">
        <v>1.8</v>
      </c>
    </row>
    <row r="66" spans="1:15" ht="15.75" x14ac:dyDescent="0.25">
      <c r="A66" s="10"/>
      <c r="B66" s="11" t="s">
        <v>363</v>
      </c>
      <c r="C66" s="45" t="s">
        <v>84</v>
      </c>
      <c r="D66" s="34">
        <v>0.36</v>
      </c>
      <c r="E66" s="11" t="s">
        <v>357</v>
      </c>
      <c r="F66" s="31">
        <v>2</v>
      </c>
      <c r="G66" s="11" t="s">
        <v>16</v>
      </c>
      <c r="H66" s="11" t="s">
        <v>283</v>
      </c>
      <c r="I66" s="13" t="s">
        <v>231</v>
      </c>
      <c r="J66" s="40"/>
      <c r="K66" s="63">
        <f t="shared" ref="K66:K97" si="5">D66*25</f>
        <v>9</v>
      </c>
      <c r="L66">
        <f t="shared" ref="L66:L129" si="6">IF(5/D66&gt;18,18,5/D66)</f>
        <v>13.888888888888889</v>
      </c>
      <c r="M66">
        <f t="shared" si="4"/>
        <v>3.9999999999999996</v>
      </c>
      <c r="N66" s="63" t="s">
        <v>485</v>
      </c>
      <c r="O66" s="31">
        <v>2</v>
      </c>
    </row>
    <row r="67" spans="1:15" ht="15.75" x14ac:dyDescent="0.25">
      <c r="A67" s="11"/>
      <c r="B67" s="37" t="s">
        <v>381</v>
      </c>
      <c r="C67" s="11" t="s">
        <v>191</v>
      </c>
      <c r="D67" s="34">
        <v>0.32500000000000001</v>
      </c>
      <c r="E67" s="11"/>
      <c r="F67" s="31">
        <v>2</v>
      </c>
      <c r="G67" s="11" t="s">
        <v>16</v>
      </c>
      <c r="H67" s="11" t="s">
        <v>244</v>
      </c>
      <c r="I67" s="13" t="s">
        <v>231</v>
      </c>
      <c r="J67" s="13"/>
      <c r="K67" s="63">
        <f t="shared" si="5"/>
        <v>8.125</v>
      </c>
      <c r="L67">
        <f t="shared" si="6"/>
        <v>15.384615384615383</v>
      </c>
      <c r="M67">
        <f t="shared" si="4"/>
        <v>3.1250000000000004</v>
      </c>
      <c r="N67" s="63" t="s">
        <v>485</v>
      </c>
      <c r="O67" s="31">
        <v>2</v>
      </c>
    </row>
    <row r="68" spans="1:15" ht="15.75" x14ac:dyDescent="0.25">
      <c r="A68" s="10"/>
      <c r="B68" s="37" t="s">
        <v>374</v>
      </c>
      <c r="C68" s="11" t="s">
        <v>192</v>
      </c>
      <c r="D68" s="34">
        <v>1</v>
      </c>
      <c r="E68" s="11"/>
      <c r="F68" s="31">
        <v>2</v>
      </c>
      <c r="G68" s="11" t="s">
        <v>16</v>
      </c>
      <c r="H68" s="11" t="s">
        <v>283</v>
      </c>
      <c r="I68" s="13" t="s">
        <v>231</v>
      </c>
      <c r="J68" s="13"/>
      <c r="K68" s="63">
        <f t="shared" si="5"/>
        <v>25</v>
      </c>
      <c r="L68">
        <f t="shared" si="6"/>
        <v>5</v>
      </c>
      <c r="M68">
        <f t="shared" si="4"/>
        <v>20</v>
      </c>
      <c r="N68" s="63" t="s">
        <v>485</v>
      </c>
      <c r="O68" s="31">
        <v>2</v>
      </c>
    </row>
    <row r="69" spans="1:15" ht="15.75" x14ac:dyDescent="0.25">
      <c r="A69" s="10"/>
      <c r="B69" s="37" t="s">
        <v>375</v>
      </c>
      <c r="C69" s="11" t="s">
        <v>193</v>
      </c>
      <c r="D69" s="34">
        <v>0.33</v>
      </c>
      <c r="E69" s="11"/>
      <c r="F69" s="35">
        <v>1.5</v>
      </c>
      <c r="G69" s="11" t="s">
        <v>16</v>
      </c>
      <c r="H69" s="11" t="s">
        <v>283</v>
      </c>
      <c r="I69" s="13" t="s">
        <v>231</v>
      </c>
      <c r="J69" s="13"/>
      <c r="K69" s="63">
        <f t="shared" si="5"/>
        <v>8.25</v>
      </c>
      <c r="L69">
        <f t="shared" si="6"/>
        <v>15.15151515151515</v>
      </c>
      <c r="M69">
        <f t="shared" si="4"/>
        <v>3.2500000000000004</v>
      </c>
      <c r="N69" s="63" t="s">
        <v>485</v>
      </c>
      <c r="O69" s="35">
        <v>1.5</v>
      </c>
    </row>
    <row r="70" spans="1:15" ht="15.75" x14ac:dyDescent="0.25">
      <c r="A70" s="10"/>
      <c r="B70" s="37" t="s">
        <v>376</v>
      </c>
      <c r="C70" s="11" t="s">
        <v>194</v>
      </c>
      <c r="D70" s="34">
        <v>0.55600000000000005</v>
      </c>
      <c r="E70" s="11"/>
      <c r="F70" s="35">
        <v>1.9</v>
      </c>
      <c r="G70" s="11" t="s">
        <v>16</v>
      </c>
      <c r="H70" s="11" t="s">
        <v>283</v>
      </c>
      <c r="I70" s="13" t="s">
        <v>231</v>
      </c>
      <c r="J70" s="13"/>
      <c r="K70" s="63">
        <f t="shared" si="5"/>
        <v>13.900000000000002</v>
      </c>
      <c r="L70">
        <f t="shared" si="6"/>
        <v>8.9928057553956826</v>
      </c>
      <c r="M70">
        <f t="shared" si="4"/>
        <v>8.9000000000000021</v>
      </c>
      <c r="N70" s="63" t="s">
        <v>485</v>
      </c>
      <c r="O70" s="35">
        <v>1.9</v>
      </c>
    </row>
    <row r="71" spans="1:15" ht="15.75" x14ac:dyDescent="0.25">
      <c r="A71" s="10"/>
      <c r="B71" s="11" t="s">
        <v>391</v>
      </c>
      <c r="C71" s="11" t="s">
        <v>214</v>
      </c>
      <c r="D71" s="34">
        <v>0.28599999999999998</v>
      </c>
      <c r="E71" s="11">
        <v>25</v>
      </c>
      <c r="F71" s="35">
        <v>1.5</v>
      </c>
      <c r="G71" s="11" t="s">
        <v>16</v>
      </c>
      <c r="H71" s="11" t="s">
        <v>283</v>
      </c>
      <c r="I71" s="13" t="s">
        <v>231</v>
      </c>
      <c r="J71" s="13"/>
      <c r="K71" s="63">
        <f t="shared" si="5"/>
        <v>7.1499999999999995</v>
      </c>
      <c r="L71">
        <f t="shared" si="6"/>
        <v>17.482517482517483</v>
      </c>
      <c r="M71">
        <f t="shared" si="4"/>
        <v>2.1499999999999995</v>
      </c>
      <c r="N71" s="63" t="s">
        <v>485</v>
      </c>
      <c r="O71" s="35">
        <v>1.5</v>
      </c>
    </row>
    <row r="72" spans="1:15" ht="15.75" x14ac:dyDescent="0.25">
      <c r="A72" s="10"/>
      <c r="B72" s="11" t="s">
        <v>414</v>
      </c>
      <c r="C72" s="11" t="s">
        <v>215</v>
      </c>
      <c r="D72" s="34">
        <v>3.05</v>
      </c>
      <c r="E72" s="10"/>
      <c r="F72" s="35">
        <v>1.8</v>
      </c>
      <c r="G72" s="11" t="s">
        <v>16</v>
      </c>
      <c r="H72" s="11"/>
      <c r="I72" s="13" t="s">
        <v>231</v>
      </c>
      <c r="J72" s="40"/>
      <c r="K72" s="63">
        <f t="shared" si="5"/>
        <v>76.25</v>
      </c>
      <c r="L72">
        <f t="shared" si="6"/>
        <v>1.639344262295082</v>
      </c>
      <c r="M72">
        <f t="shared" si="4"/>
        <v>71.25</v>
      </c>
      <c r="N72" s="63" t="s">
        <v>485</v>
      </c>
      <c r="O72" s="35">
        <v>1.8</v>
      </c>
    </row>
    <row r="73" spans="1:15" ht="15.75" x14ac:dyDescent="0.25">
      <c r="A73" s="10"/>
      <c r="B73" s="11" t="s">
        <v>415</v>
      </c>
      <c r="C73" s="11" t="s">
        <v>216</v>
      </c>
      <c r="D73" s="34">
        <v>0.873</v>
      </c>
      <c r="E73" s="10"/>
      <c r="F73" s="31">
        <v>2</v>
      </c>
      <c r="G73" s="11" t="s">
        <v>16</v>
      </c>
      <c r="H73" s="11"/>
      <c r="I73" s="13" t="s">
        <v>231</v>
      </c>
      <c r="J73" s="40"/>
      <c r="K73" s="63">
        <f t="shared" si="5"/>
        <v>21.824999999999999</v>
      </c>
      <c r="L73">
        <f t="shared" si="6"/>
        <v>5.72737686139748</v>
      </c>
      <c r="M73">
        <f t="shared" si="4"/>
        <v>16.824999999999999</v>
      </c>
      <c r="N73" s="63" t="s">
        <v>485</v>
      </c>
      <c r="O73" s="31">
        <v>2</v>
      </c>
    </row>
    <row r="74" spans="1:15" ht="15.75" x14ac:dyDescent="0.25">
      <c r="A74" s="30"/>
      <c r="B74" s="26" t="s">
        <v>416</v>
      </c>
      <c r="C74" s="26" t="s">
        <v>217</v>
      </c>
      <c r="D74" s="34">
        <v>0.46400000000000002</v>
      </c>
      <c r="E74" s="26">
        <v>11.6</v>
      </c>
      <c r="F74" s="36">
        <v>1.7</v>
      </c>
      <c r="G74" s="26" t="s">
        <v>16</v>
      </c>
      <c r="H74" s="26"/>
      <c r="I74" s="15" t="s">
        <v>231</v>
      </c>
      <c r="J74" s="13"/>
      <c r="K74" s="63">
        <f t="shared" si="5"/>
        <v>11.600000000000001</v>
      </c>
      <c r="L74">
        <f t="shared" si="6"/>
        <v>10.775862068965516</v>
      </c>
      <c r="M74">
        <f t="shared" si="4"/>
        <v>6.6000000000000005</v>
      </c>
      <c r="N74" s="63" t="s">
        <v>485</v>
      </c>
      <c r="O74" s="36">
        <v>1.7</v>
      </c>
    </row>
    <row r="75" spans="1:15" ht="15.75" x14ac:dyDescent="0.25">
      <c r="A75" s="30"/>
      <c r="B75" s="11" t="s">
        <v>421</v>
      </c>
      <c r="C75" s="13" t="s">
        <v>218</v>
      </c>
      <c r="D75" s="12">
        <v>0.58699999999999997</v>
      </c>
      <c r="E75" s="10"/>
      <c r="F75" s="31">
        <v>2</v>
      </c>
      <c r="G75" s="11" t="s">
        <v>16</v>
      </c>
      <c r="H75" s="10"/>
      <c r="I75" s="11" t="s">
        <v>231</v>
      </c>
      <c r="J75" s="40"/>
      <c r="K75" s="63">
        <f t="shared" si="5"/>
        <v>14.674999999999999</v>
      </c>
      <c r="L75">
        <f t="shared" si="6"/>
        <v>8.5178875638841571</v>
      </c>
      <c r="M75">
        <f t="shared" si="4"/>
        <v>9.6749999999999989</v>
      </c>
      <c r="N75" s="63" t="s">
        <v>485</v>
      </c>
      <c r="O75" s="31">
        <v>2</v>
      </c>
    </row>
    <row r="76" spans="1:15" ht="15.75" x14ac:dyDescent="0.25">
      <c r="A76" s="10"/>
      <c r="B76" s="11">
        <v>53</v>
      </c>
      <c r="C76" s="13" t="s">
        <v>85</v>
      </c>
      <c r="D76" s="12">
        <v>0.192</v>
      </c>
      <c r="E76" s="11"/>
      <c r="F76" s="11">
        <v>1</v>
      </c>
      <c r="G76" s="11" t="s">
        <v>16</v>
      </c>
      <c r="H76" s="11" t="s">
        <v>230</v>
      </c>
      <c r="I76" s="11" t="s">
        <v>231</v>
      </c>
      <c r="J76" s="53"/>
      <c r="K76" s="63">
        <f t="shared" si="5"/>
        <v>4.8</v>
      </c>
      <c r="L76">
        <f t="shared" si="6"/>
        <v>18</v>
      </c>
      <c r="M76">
        <f t="shared" si="4"/>
        <v>1.3440000000000001</v>
      </c>
      <c r="N76" s="3" t="s">
        <v>481</v>
      </c>
      <c r="O76" s="11">
        <v>1</v>
      </c>
    </row>
    <row r="77" spans="1:15" ht="15.75" x14ac:dyDescent="0.25">
      <c r="A77" s="10"/>
      <c r="B77" s="11">
        <v>54</v>
      </c>
      <c r="C77" s="13" t="s">
        <v>94</v>
      </c>
      <c r="D77" s="12">
        <v>0.23899999999999999</v>
      </c>
      <c r="E77" s="11"/>
      <c r="F77" s="11">
        <v>1</v>
      </c>
      <c r="G77" s="11" t="s">
        <v>16</v>
      </c>
      <c r="H77" s="11" t="s">
        <v>230</v>
      </c>
      <c r="I77" s="11" t="s">
        <v>231</v>
      </c>
      <c r="J77" s="75"/>
      <c r="K77" s="63">
        <f t="shared" si="5"/>
        <v>5.9749999999999996</v>
      </c>
      <c r="L77">
        <f t="shared" si="6"/>
        <v>18</v>
      </c>
      <c r="M77">
        <f t="shared" si="4"/>
        <v>1.673</v>
      </c>
      <c r="N77" s="3" t="s">
        <v>481</v>
      </c>
      <c r="O77" s="11">
        <v>1</v>
      </c>
    </row>
    <row r="78" spans="1:15" ht="15.75" x14ac:dyDescent="0.25">
      <c r="A78" s="10"/>
      <c r="B78" s="11">
        <v>55</v>
      </c>
      <c r="C78" s="15" t="s">
        <v>96</v>
      </c>
      <c r="D78" s="12">
        <v>0.33200000000000002</v>
      </c>
      <c r="E78" s="11"/>
      <c r="F78" s="11">
        <v>1</v>
      </c>
      <c r="G78" s="11" t="s">
        <v>16</v>
      </c>
      <c r="H78" s="11" t="s">
        <v>230</v>
      </c>
      <c r="I78" s="11" t="s">
        <v>231</v>
      </c>
      <c r="J78" s="75"/>
      <c r="K78" s="63">
        <f t="shared" si="5"/>
        <v>8.3000000000000007</v>
      </c>
      <c r="L78">
        <f t="shared" si="6"/>
        <v>15.060240963855421</v>
      </c>
      <c r="M78">
        <f t="shared" si="4"/>
        <v>3.3000000000000007</v>
      </c>
      <c r="N78" s="3" t="s">
        <v>481</v>
      </c>
      <c r="O78" s="11">
        <v>1</v>
      </c>
    </row>
    <row r="79" spans="1:15" ht="15.75" x14ac:dyDescent="0.25">
      <c r="A79" s="10"/>
      <c r="B79" s="13">
        <v>56</v>
      </c>
      <c r="C79" s="13" t="s">
        <v>98</v>
      </c>
      <c r="D79" s="14">
        <v>0.14499999999999999</v>
      </c>
      <c r="E79" s="11"/>
      <c r="F79" s="11">
        <v>1</v>
      </c>
      <c r="G79" s="11" t="s">
        <v>16</v>
      </c>
      <c r="H79" s="11" t="s">
        <v>230</v>
      </c>
      <c r="I79" s="11" t="s">
        <v>231</v>
      </c>
      <c r="J79" s="75"/>
      <c r="K79" s="63">
        <f t="shared" si="5"/>
        <v>3.6249999999999996</v>
      </c>
      <c r="L79">
        <f t="shared" si="6"/>
        <v>18</v>
      </c>
      <c r="M79">
        <f t="shared" si="4"/>
        <v>1.0149999999999999</v>
      </c>
      <c r="N79" s="3" t="s">
        <v>481</v>
      </c>
      <c r="O79" s="11">
        <v>1</v>
      </c>
    </row>
    <row r="80" spans="1:15" ht="15.75" x14ac:dyDescent="0.25">
      <c r="A80" s="10"/>
      <c r="B80" s="13">
        <v>57</v>
      </c>
      <c r="C80" s="13" t="s">
        <v>100</v>
      </c>
      <c r="D80" s="14">
        <v>0.13900000000000001</v>
      </c>
      <c r="E80" s="11"/>
      <c r="F80" s="11">
        <v>1</v>
      </c>
      <c r="G80" s="11" t="s">
        <v>16</v>
      </c>
      <c r="H80" s="11" t="s">
        <v>230</v>
      </c>
      <c r="I80" s="11" t="s">
        <v>231</v>
      </c>
      <c r="J80" s="75"/>
      <c r="K80" s="63">
        <f t="shared" si="5"/>
        <v>3.4750000000000005</v>
      </c>
      <c r="L80">
        <f t="shared" si="6"/>
        <v>18</v>
      </c>
      <c r="M80">
        <f t="shared" si="4"/>
        <v>0.97300000000000009</v>
      </c>
      <c r="N80" s="3" t="s">
        <v>481</v>
      </c>
      <c r="O80" s="11">
        <v>1</v>
      </c>
    </row>
    <row r="81" spans="1:15" ht="15.75" x14ac:dyDescent="0.25">
      <c r="A81" s="10"/>
      <c r="B81" s="13">
        <v>58</v>
      </c>
      <c r="C81" s="13" t="s">
        <v>102</v>
      </c>
      <c r="D81" s="14">
        <v>0.09</v>
      </c>
      <c r="E81" s="11"/>
      <c r="F81" s="11">
        <v>1</v>
      </c>
      <c r="G81" s="11" t="s">
        <v>16</v>
      </c>
      <c r="H81" s="11" t="s">
        <v>230</v>
      </c>
      <c r="I81" s="11" t="s">
        <v>231</v>
      </c>
      <c r="J81" s="75"/>
      <c r="K81" s="63">
        <f t="shared" si="5"/>
        <v>2.25</v>
      </c>
      <c r="L81">
        <f t="shared" si="6"/>
        <v>18</v>
      </c>
      <c r="M81">
        <f t="shared" si="4"/>
        <v>0.63</v>
      </c>
      <c r="N81" s="3" t="s">
        <v>481</v>
      </c>
      <c r="O81" s="11">
        <v>1</v>
      </c>
    </row>
    <row r="82" spans="1:15" ht="15.75" x14ac:dyDescent="0.25">
      <c r="A82" s="10"/>
      <c r="B82" s="13">
        <v>59</v>
      </c>
      <c r="C82" s="13" t="s">
        <v>103</v>
      </c>
      <c r="D82" s="14">
        <v>0.11</v>
      </c>
      <c r="E82" s="11"/>
      <c r="F82" s="11">
        <v>1</v>
      </c>
      <c r="G82" s="11" t="s">
        <v>16</v>
      </c>
      <c r="H82" s="11" t="s">
        <v>230</v>
      </c>
      <c r="I82" s="11" t="s">
        <v>231</v>
      </c>
      <c r="J82" s="75"/>
      <c r="K82" s="63">
        <f t="shared" si="5"/>
        <v>2.75</v>
      </c>
      <c r="L82">
        <f t="shared" si="6"/>
        <v>18</v>
      </c>
      <c r="M82">
        <f t="shared" si="4"/>
        <v>0.77</v>
      </c>
      <c r="N82" s="3" t="s">
        <v>481</v>
      </c>
      <c r="O82" s="11">
        <v>1</v>
      </c>
    </row>
    <row r="83" spans="1:15" ht="15.75" x14ac:dyDescent="0.25">
      <c r="A83" s="10"/>
      <c r="B83" s="13">
        <v>60</v>
      </c>
      <c r="C83" s="13" t="s">
        <v>104</v>
      </c>
      <c r="D83" s="12">
        <v>0.25700000000000001</v>
      </c>
      <c r="E83" s="11"/>
      <c r="F83" s="11">
        <v>1</v>
      </c>
      <c r="G83" s="11" t="s">
        <v>16</v>
      </c>
      <c r="H83" s="11" t="s">
        <v>230</v>
      </c>
      <c r="I83" s="11" t="s">
        <v>231</v>
      </c>
      <c r="J83" s="75"/>
      <c r="K83" s="63">
        <f t="shared" si="5"/>
        <v>6.4249999999999998</v>
      </c>
      <c r="L83">
        <f t="shared" si="6"/>
        <v>18</v>
      </c>
      <c r="M83">
        <f t="shared" si="4"/>
        <v>1.7989999999999999</v>
      </c>
      <c r="N83" s="3" t="s">
        <v>481</v>
      </c>
      <c r="O83" s="11">
        <v>1</v>
      </c>
    </row>
    <row r="84" spans="1:15" ht="15.75" x14ac:dyDescent="0.25">
      <c r="A84" s="10"/>
      <c r="B84" s="13">
        <v>61</v>
      </c>
      <c r="C84" s="13" t="s">
        <v>105</v>
      </c>
      <c r="D84" s="14">
        <v>0.105</v>
      </c>
      <c r="E84" s="11"/>
      <c r="F84" s="11">
        <v>1</v>
      </c>
      <c r="G84" s="11" t="s">
        <v>16</v>
      </c>
      <c r="H84" s="11" t="s">
        <v>230</v>
      </c>
      <c r="I84" s="11" t="s">
        <v>231</v>
      </c>
      <c r="J84" s="75"/>
      <c r="K84" s="63">
        <f t="shared" si="5"/>
        <v>2.625</v>
      </c>
      <c r="L84">
        <f t="shared" si="6"/>
        <v>18</v>
      </c>
      <c r="M84">
        <f t="shared" si="4"/>
        <v>0.73499999999999999</v>
      </c>
      <c r="N84" s="3" t="s">
        <v>481</v>
      </c>
      <c r="O84" s="11">
        <v>1</v>
      </c>
    </row>
    <row r="85" spans="1:15" ht="15.75" x14ac:dyDescent="0.25">
      <c r="A85" s="10"/>
      <c r="B85" s="13">
        <v>62</v>
      </c>
      <c r="C85" s="13" t="s">
        <v>106</v>
      </c>
      <c r="D85" s="12">
        <v>0.217</v>
      </c>
      <c r="E85" s="11"/>
      <c r="F85" s="11">
        <v>1</v>
      </c>
      <c r="G85" s="11" t="s">
        <v>16</v>
      </c>
      <c r="H85" s="11" t="s">
        <v>230</v>
      </c>
      <c r="I85" s="11" t="s">
        <v>231</v>
      </c>
      <c r="J85" s="75"/>
      <c r="K85" s="63">
        <f t="shared" si="5"/>
        <v>5.4249999999999998</v>
      </c>
      <c r="L85">
        <f t="shared" si="6"/>
        <v>18</v>
      </c>
      <c r="M85">
        <f t="shared" si="4"/>
        <v>1.5189999999999999</v>
      </c>
      <c r="N85" s="3" t="s">
        <v>481</v>
      </c>
      <c r="O85" s="11">
        <v>1</v>
      </c>
    </row>
    <row r="86" spans="1:15" ht="15.75" x14ac:dyDescent="0.25">
      <c r="A86" s="10"/>
      <c r="B86" s="13">
        <v>19</v>
      </c>
      <c r="C86" s="13" t="s">
        <v>173</v>
      </c>
      <c r="D86" s="12" t="s">
        <v>227</v>
      </c>
      <c r="E86" s="11" t="s">
        <v>228</v>
      </c>
      <c r="F86" s="11">
        <v>1</v>
      </c>
      <c r="G86" s="11" t="s">
        <v>90</v>
      </c>
      <c r="H86" s="11"/>
      <c r="I86" s="11" t="s">
        <v>229</v>
      </c>
      <c r="J86" s="75"/>
      <c r="K86" s="63" t="e">
        <f t="shared" si="5"/>
        <v>#VALUE!</v>
      </c>
      <c r="L86" t="e">
        <f t="shared" si="6"/>
        <v>#VALUE!</v>
      </c>
      <c r="M86" t="e">
        <f t="shared" si="4"/>
        <v>#VALUE!</v>
      </c>
      <c r="N86" s="3" t="s">
        <v>481</v>
      </c>
      <c r="O86" s="11">
        <v>1</v>
      </c>
    </row>
    <row r="87" spans="1:15" ht="15.75" x14ac:dyDescent="0.25">
      <c r="A87" s="10"/>
      <c r="B87" s="13">
        <v>63</v>
      </c>
      <c r="C87" s="13" t="s">
        <v>108</v>
      </c>
      <c r="D87" s="14">
        <v>0.14499999999999999</v>
      </c>
      <c r="E87" s="11"/>
      <c r="F87" s="11">
        <v>1</v>
      </c>
      <c r="G87" s="11" t="s">
        <v>16</v>
      </c>
      <c r="H87" s="11" t="s">
        <v>230</v>
      </c>
      <c r="I87" s="11" t="s">
        <v>231</v>
      </c>
      <c r="J87" s="75"/>
      <c r="K87" s="63">
        <f t="shared" si="5"/>
        <v>3.6249999999999996</v>
      </c>
      <c r="L87">
        <f t="shared" si="6"/>
        <v>18</v>
      </c>
      <c r="M87">
        <f t="shared" si="4"/>
        <v>1.0149999999999999</v>
      </c>
      <c r="N87" s="3" t="s">
        <v>481</v>
      </c>
      <c r="O87" s="11">
        <v>1</v>
      </c>
    </row>
    <row r="88" spans="1:15" ht="15.75" x14ac:dyDescent="0.25">
      <c r="A88" s="10"/>
      <c r="B88" s="13">
        <v>64</v>
      </c>
      <c r="C88" s="13" t="s">
        <v>109</v>
      </c>
      <c r="D88" s="12">
        <v>1.94</v>
      </c>
      <c r="E88" s="11"/>
      <c r="F88" s="11">
        <v>1</v>
      </c>
      <c r="G88" s="11" t="s">
        <v>16</v>
      </c>
      <c r="H88" s="11" t="s">
        <v>230</v>
      </c>
      <c r="I88" s="11" t="s">
        <v>231</v>
      </c>
      <c r="J88" s="75"/>
      <c r="K88" s="63">
        <f t="shared" si="5"/>
        <v>48.5</v>
      </c>
      <c r="L88">
        <f t="shared" si="6"/>
        <v>2.5773195876288661</v>
      </c>
      <c r="M88">
        <f t="shared" si="4"/>
        <v>43.499999999999993</v>
      </c>
      <c r="N88" s="3" t="s">
        <v>481</v>
      </c>
      <c r="O88" s="11">
        <v>1</v>
      </c>
    </row>
    <row r="89" spans="1:15" ht="15.75" x14ac:dyDescent="0.25">
      <c r="A89" s="10"/>
      <c r="B89" s="11">
        <v>65</v>
      </c>
      <c r="C89" s="11" t="s">
        <v>110</v>
      </c>
      <c r="D89" s="12">
        <v>0.189</v>
      </c>
      <c r="E89" s="11"/>
      <c r="F89" s="11">
        <v>1</v>
      </c>
      <c r="G89" s="11" t="s">
        <v>16</v>
      </c>
      <c r="H89" s="11" t="s">
        <v>230</v>
      </c>
      <c r="I89" s="11" t="s">
        <v>231</v>
      </c>
      <c r="J89" s="53"/>
      <c r="K89" s="63">
        <f t="shared" si="5"/>
        <v>4.7249999999999996</v>
      </c>
      <c r="L89">
        <f t="shared" si="6"/>
        <v>18</v>
      </c>
      <c r="M89">
        <f t="shared" si="4"/>
        <v>1.323</v>
      </c>
      <c r="N89" s="3" t="s">
        <v>481</v>
      </c>
      <c r="O89" s="2">
        <v>2</v>
      </c>
    </row>
    <row r="90" spans="1:15" ht="15.75" x14ac:dyDescent="0.25">
      <c r="A90" s="10"/>
      <c r="B90" s="11">
        <v>66</v>
      </c>
      <c r="C90" s="11" t="s">
        <v>232</v>
      </c>
      <c r="D90" s="14">
        <v>0.1</v>
      </c>
      <c r="E90" s="11"/>
      <c r="F90" s="11">
        <v>1</v>
      </c>
      <c r="G90" s="11" t="s">
        <v>16</v>
      </c>
      <c r="H90" s="11" t="s">
        <v>230</v>
      </c>
      <c r="I90" s="11" t="s">
        <v>233</v>
      </c>
      <c r="J90" s="53"/>
      <c r="K90" s="63">
        <f t="shared" si="5"/>
        <v>2.5</v>
      </c>
      <c r="L90">
        <f t="shared" si="6"/>
        <v>18</v>
      </c>
      <c r="M90">
        <f t="shared" si="4"/>
        <v>0.70000000000000007</v>
      </c>
      <c r="N90" s="3" t="s">
        <v>481</v>
      </c>
      <c r="O90" s="2">
        <v>2</v>
      </c>
    </row>
    <row r="91" spans="1:15" ht="15.75" x14ac:dyDescent="0.25">
      <c r="A91" s="10"/>
      <c r="B91" s="11">
        <v>67</v>
      </c>
      <c r="C91" s="11" t="s">
        <v>112</v>
      </c>
      <c r="D91" s="12">
        <v>0.16400000000000001</v>
      </c>
      <c r="E91" s="11"/>
      <c r="F91" s="11">
        <v>1</v>
      </c>
      <c r="G91" s="11" t="s">
        <v>16</v>
      </c>
      <c r="H91" s="11" t="s">
        <v>230</v>
      </c>
      <c r="I91" s="11" t="s">
        <v>231</v>
      </c>
      <c r="J91" s="53"/>
      <c r="K91" s="63">
        <f t="shared" si="5"/>
        <v>4.1000000000000005</v>
      </c>
      <c r="L91">
        <f t="shared" si="6"/>
        <v>18</v>
      </c>
      <c r="M91">
        <f t="shared" si="4"/>
        <v>1.1480000000000001</v>
      </c>
      <c r="N91" s="3" t="s">
        <v>481</v>
      </c>
      <c r="O91" s="2">
        <v>2</v>
      </c>
    </row>
    <row r="92" spans="1:15" ht="15.75" x14ac:dyDescent="0.25">
      <c r="A92" s="28"/>
      <c r="B92" s="11">
        <v>68</v>
      </c>
      <c r="C92" s="11" t="s">
        <v>234</v>
      </c>
      <c r="D92" s="14">
        <v>0.109</v>
      </c>
      <c r="E92" s="11"/>
      <c r="F92" s="11">
        <v>1</v>
      </c>
      <c r="G92" s="11" t="s">
        <v>16</v>
      </c>
      <c r="H92" s="11" t="s">
        <v>230</v>
      </c>
      <c r="I92" s="11" t="s">
        <v>233</v>
      </c>
      <c r="J92" s="53"/>
      <c r="K92" s="63">
        <f t="shared" si="5"/>
        <v>2.7250000000000001</v>
      </c>
      <c r="L92">
        <f t="shared" si="6"/>
        <v>18</v>
      </c>
      <c r="M92">
        <f t="shared" si="4"/>
        <v>0.76300000000000001</v>
      </c>
      <c r="N92" s="3" t="s">
        <v>481</v>
      </c>
      <c r="O92" s="2">
        <v>2</v>
      </c>
    </row>
    <row r="93" spans="1:15" ht="15.75" x14ac:dyDescent="0.25">
      <c r="A93" s="10"/>
      <c r="B93" s="11">
        <v>49</v>
      </c>
      <c r="C93" s="11" t="s">
        <v>235</v>
      </c>
      <c r="D93" s="12">
        <v>0.27100000000000002</v>
      </c>
      <c r="E93" s="10"/>
      <c r="F93" s="11">
        <v>1</v>
      </c>
      <c r="G93" s="11" t="s">
        <v>90</v>
      </c>
      <c r="H93" s="11" t="s">
        <v>230</v>
      </c>
      <c r="I93" s="11" t="s">
        <v>231</v>
      </c>
      <c r="J93" s="40" t="s">
        <v>236</v>
      </c>
      <c r="K93" s="63">
        <f t="shared" si="5"/>
        <v>6.7750000000000004</v>
      </c>
      <c r="L93">
        <f t="shared" si="6"/>
        <v>18</v>
      </c>
      <c r="M93">
        <f t="shared" si="4"/>
        <v>1.8970000000000002</v>
      </c>
      <c r="N93" s="3" t="s">
        <v>481</v>
      </c>
      <c r="O93" s="2">
        <v>2</v>
      </c>
    </row>
    <row r="94" spans="1:15" ht="15.75" x14ac:dyDescent="0.25">
      <c r="A94" s="10"/>
      <c r="B94" s="11">
        <v>50</v>
      </c>
      <c r="C94" s="11" t="s">
        <v>237</v>
      </c>
      <c r="D94" s="12">
        <v>0.26100000000000001</v>
      </c>
      <c r="E94" s="10"/>
      <c r="F94" s="11">
        <v>1</v>
      </c>
      <c r="G94" s="11" t="s">
        <v>90</v>
      </c>
      <c r="H94" s="11" t="s">
        <v>230</v>
      </c>
      <c r="I94" s="11" t="s">
        <v>233</v>
      </c>
      <c r="J94" s="40" t="s">
        <v>236</v>
      </c>
      <c r="K94" s="63">
        <f t="shared" si="5"/>
        <v>6.5250000000000004</v>
      </c>
      <c r="L94">
        <f t="shared" si="6"/>
        <v>18</v>
      </c>
      <c r="M94">
        <f t="shared" si="4"/>
        <v>1.827</v>
      </c>
      <c r="N94" s="3" t="s">
        <v>481</v>
      </c>
      <c r="O94" s="2">
        <v>2</v>
      </c>
    </row>
    <row r="95" spans="1:15" ht="15.75" x14ac:dyDescent="0.25">
      <c r="A95" s="10"/>
      <c r="B95" s="13">
        <v>51</v>
      </c>
      <c r="C95" s="11" t="s">
        <v>238</v>
      </c>
      <c r="D95" s="12">
        <v>0.22600000000000001</v>
      </c>
      <c r="E95" s="10"/>
      <c r="F95" s="11">
        <v>1</v>
      </c>
      <c r="G95" s="11" t="s">
        <v>90</v>
      </c>
      <c r="H95" s="11" t="s">
        <v>230</v>
      </c>
      <c r="I95" s="11" t="s">
        <v>231</v>
      </c>
      <c r="J95" s="40" t="s">
        <v>236</v>
      </c>
      <c r="K95" s="63">
        <f t="shared" si="5"/>
        <v>5.65</v>
      </c>
      <c r="L95">
        <f t="shared" si="6"/>
        <v>18</v>
      </c>
      <c r="M95">
        <f t="shared" si="4"/>
        <v>1.5820000000000001</v>
      </c>
      <c r="N95" s="3" t="s">
        <v>481</v>
      </c>
      <c r="O95" s="2">
        <v>2</v>
      </c>
    </row>
    <row r="96" spans="1:15" ht="15.75" x14ac:dyDescent="0.25">
      <c r="A96" s="10"/>
      <c r="B96" s="13">
        <v>52</v>
      </c>
      <c r="C96" s="11" t="s">
        <v>239</v>
      </c>
      <c r="D96" s="12">
        <v>0.2</v>
      </c>
      <c r="E96" s="10"/>
      <c r="F96" s="11">
        <v>1</v>
      </c>
      <c r="G96" s="11" t="s">
        <v>90</v>
      </c>
      <c r="H96" s="11" t="s">
        <v>230</v>
      </c>
      <c r="I96" s="11" t="s">
        <v>233</v>
      </c>
      <c r="J96" s="40" t="s">
        <v>236</v>
      </c>
      <c r="K96" s="63">
        <f t="shared" si="5"/>
        <v>5</v>
      </c>
      <c r="L96">
        <f t="shared" si="6"/>
        <v>18</v>
      </c>
      <c r="M96">
        <f t="shared" si="4"/>
        <v>1.4000000000000001</v>
      </c>
      <c r="N96" s="3" t="s">
        <v>481</v>
      </c>
      <c r="O96" s="2">
        <v>2</v>
      </c>
    </row>
    <row r="97" spans="1:15" ht="15.75" x14ac:dyDescent="0.25">
      <c r="A97" s="10"/>
      <c r="B97" s="13">
        <v>73</v>
      </c>
      <c r="C97" s="106" t="s">
        <v>116</v>
      </c>
      <c r="D97" s="12">
        <v>0.15</v>
      </c>
      <c r="E97" s="10"/>
      <c r="F97" s="11">
        <v>1</v>
      </c>
      <c r="G97" s="11" t="s">
        <v>16</v>
      </c>
      <c r="H97" s="11" t="s">
        <v>240</v>
      </c>
      <c r="I97" s="11" t="s">
        <v>241</v>
      </c>
      <c r="J97" s="53"/>
      <c r="K97" s="63">
        <f t="shared" si="5"/>
        <v>3.75</v>
      </c>
      <c r="L97">
        <f t="shared" si="6"/>
        <v>18</v>
      </c>
      <c r="M97">
        <f t="shared" si="4"/>
        <v>1.05</v>
      </c>
      <c r="N97" s="3" t="s">
        <v>481</v>
      </c>
      <c r="O97" s="2">
        <v>3</v>
      </c>
    </row>
    <row r="98" spans="1:15" ht="15.75" x14ac:dyDescent="0.25">
      <c r="A98" s="10"/>
      <c r="B98" s="13" t="s">
        <v>258</v>
      </c>
      <c r="C98" s="12" t="s">
        <v>116</v>
      </c>
      <c r="D98" s="12">
        <v>0.127</v>
      </c>
      <c r="E98" s="11">
        <v>139</v>
      </c>
      <c r="F98" s="11">
        <v>1</v>
      </c>
      <c r="G98" s="11" t="s">
        <v>16</v>
      </c>
      <c r="H98" s="11" t="s">
        <v>244</v>
      </c>
      <c r="I98" s="11" t="s">
        <v>259</v>
      </c>
      <c r="J98" s="40"/>
      <c r="K98" s="63">
        <f t="shared" ref="K98:K129" si="7">D98*25</f>
        <v>3.1749999999999998</v>
      </c>
      <c r="L98">
        <f t="shared" si="6"/>
        <v>18</v>
      </c>
      <c r="M98">
        <f t="shared" si="4"/>
        <v>0.88900000000000001</v>
      </c>
      <c r="N98" s="3" t="s">
        <v>481</v>
      </c>
      <c r="O98" s="2">
        <v>3</v>
      </c>
    </row>
    <row r="99" spans="1:15" ht="15.75" x14ac:dyDescent="0.25">
      <c r="A99" s="10"/>
      <c r="B99" s="13">
        <v>74</v>
      </c>
      <c r="C99" s="106" t="s">
        <v>242</v>
      </c>
      <c r="D99" s="12">
        <v>0.153</v>
      </c>
      <c r="E99" s="10"/>
      <c r="F99" s="11">
        <v>1</v>
      </c>
      <c r="G99" s="11" t="s">
        <v>16</v>
      </c>
      <c r="H99" s="11" t="s">
        <v>240</v>
      </c>
      <c r="I99" s="11" t="s">
        <v>233</v>
      </c>
      <c r="J99" s="40"/>
      <c r="K99" s="63">
        <f t="shared" si="7"/>
        <v>3.8249999999999997</v>
      </c>
      <c r="L99">
        <f t="shared" si="6"/>
        <v>18</v>
      </c>
      <c r="M99">
        <f t="shared" si="4"/>
        <v>1.071</v>
      </c>
      <c r="N99" s="3" t="s">
        <v>481</v>
      </c>
      <c r="O99" s="2">
        <v>3</v>
      </c>
    </row>
    <row r="100" spans="1:15" ht="15.75" x14ac:dyDescent="0.25">
      <c r="A100" s="10"/>
      <c r="B100" s="13" t="s">
        <v>243</v>
      </c>
      <c r="C100" s="107" t="s">
        <v>118</v>
      </c>
      <c r="D100" s="12">
        <v>0.14699999999999999</v>
      </c>
      <c r="E100" s="10">
        <v>45</v>
      </c>
      <c r="F100" s="11">
        <v>1</v>
      </c>
      <c r="G100" s="11" t="s">
        <v>16</v>
      </c>
      <c r="H100" s="11" t="s">
        <v>244</v>
      </c>
      <c r="I100" s="11" t="s">
        <v>233</v>
      </c>
      <c r="J100" s="40"/>
      <c r="K100" s="63">
        <f t="shared" si="7"/>
        <v>3.6749999999999998</v>
      </c>
      <c r="L100">
        <f t="shared" si="6"/>
        <v>18</v>
      </c>
      <c r="M100">
        <f t="shared" si="4"/>
        <v>1.0289999999999999</v>
      </c>
      <c r="N100" s="3" t="s">
        <v>481</v>
      </c>
      <c r="O100" s="2">
        <v>2</v>
      </c>
    </row>
    <row r="101" spans="1:15" ht="15.75" x14ac:dyDescent="0.25">
      <c r="A101" s="10"/>
      <c r="B101" s="13" t="s">
        <v>245</v>
      </c>
      <c r="C101" s="107" t="s">
        <v>118</v>
      </c>
      <c r="D101" s="12">
        <v>0.16</v>
      </c>
      <c r="E101" s="10">
        <v>46</v>
      </c>
      <c r="F101" s="11">
        <v>1</v>
      </c>
      <c r="G101" s="11" t="s">
        <v>16</v>
      </c>
      <c r="H101" s="11" t="s">
        <v>244</v>
      </c>
      <c r="I101" s="11" t="s">
        <v>231</v>
      </c>
      <c r="J101" s="40"/>
      <c r="K101" s="63">
        <f t="shared" si="7"/>
        <v>4</v>
      </c>
      <c r="L101">
        <f t="shared" si="6"/>
        <v>18</v>
      </c>
      <c r="M101">
        <f t="shared" si="4"/>
        <v>1.1200000000000001</v>
      </c>
      <c r="N101" s="3" t="s">
        <v>481</v>
      </c>
      <c r="O101" s="2">
        <v>2</v>
      </c>
    </row>
    <row r="102" spans="1:15" ht="15.75" x14ac:dyDescent="0.25">
      <c r="A102" s="10"/>
      <c r="B102" s="13" t="s">
        <v>246</v>
      </c>
      <c r="C102" s="107" t="s">
        <v>120</v>
      </c>
      <c r="D102" s="12">
        <v>0.161</v>
      </c>
      <c r="E102" s="10">
        <v>47</v>
      </c>
      <c r="F102" s="11">
        <v>1</v>
      </c>
      <c r="G102" s="11" t="s">
        <v>16</v>
      </c>
      <c r="H102" s="11" t="s">
        <v>244</v>
      </c>
      <c r="I102" s="11" t="s">
        <v>233</v>
      </c>
      <c r="J102" s="40"/>
      <c r="K102" s="63">
        <f t="shared" si="7"/>
        <v>4.0250000000000004</v>
      </c>
      <c r="L102">
        <f t="shared" si="6"/>
        <v>18</v>
      </c>
      <c r="M102">
        <f t="shared" si="4"/>
        <v>1.127</v>
      </c>
      <c r="N102" s="3" t="s">
        <v>481</v>
      </c>
      <c r="O102" s="2">
        <v>2</v>
      </c>
    </row>
    <row r="103" spans="1:15" ht="15.75" x14ac:dyDescent="0.25">
      <c r="A103" s="28"/>
      <c r="B103" s="15" t="s">
        <v>247</v>
      </c>
      <c r="C103" s="108" t="s">
        <v>120</v>
      </c>
      <c r="D103" s="34">
        <v>0.24199999999999999</v>
      </c>
      <c r="E103" s="10">
        <v>48</v>
      </c>
      <c r="F103" s="26">
        <v>1</v>
      </c>
      <c r="G103" s="26" t="s">
        <v>16</v>
      </c>
      <c r="H103" s="26" t="s">
        <v>244</v>
      </c>
      <c r="I103" s="26" t="s">
        <v>231</v>
      </c>
      <c r="J103" s="56"/>
      <c r="K103" s="63">
        <f t="shared" si="7"/>
        <v>6.05</v>
      </c>
      <c r="L103">
        <f t="shared" si="6"/>
        <v>18</v>
      </c>
      <c r="M103">
        <f t="shared" si="4"/>
        <v>1.694</v>
      </c>
      <c r="N103" s="3" t="s">
        <v>481</v>
      </c>
      <c r="O103" s="2">
        <v>2</v>
      </c>
    </row>
    <row r="104" spans="1:15" ht="15.75" x14ac:dyDescent="0.25">
      <c r="A104" s="10"/>
      <c r="B104" s="11" t="s">
        <v>248</v>
      </c>
      <c r="C104" s="12" t="s">
        <v>121</v>
      </c>
      <c r="D104" s="12">
        <v>0.222</v>
      </c>
      <c r="E104" s="11">
        <v>129</v>
      </c>
      <c r="F104" s="11">
        <v>1</v>
      </c>
      <c r="G104" s="11" t="s">
        <v>16</v>
      </c>
      <c r="H104" s="11" t="s">
        <v>244</v>
      </c>
      <c r="I104" s="11" t="s">
        <v>233</v>
      </c>
      <c r="J104" s="40"/>
      <c r="K104" s="63">
        <f t="shared" si="7"/>
        <v>5.55</v>
      </c>
      <c r="L104">
        <f t="shared" si="6"/>
        <v>18</v>
      </c>
      <c r="M104">
        <f t="shared" si="4"/>
        <v>1.554</v>
      </c>
      <c r="N104" s="3" t="s">
        <v>481</v>
      </c>
      <c r="O104" s="2">
        <v>2</v>
      </c>
    </row>
    <row r="105" spans="1:15" ht="15.75" x14ac:dyDescent="0.25">
      <c r="A105" s="10"/>
      <c r="B105" s="11" t="s">
        <v>253</v>
      </c>
      <c r="C105" s="12" t="s">
        <v>121</v>
      </c>
      <c r="D105" s="12">
        <v>0.252</v>
      </c>
      <c r="E105" s="11">
        <v>134</v>
      </c>
      <c r="F105" s="11">
        <v>1</v>
      </c>
      <c r="G105" s="11" t="s">
        <v>16</v>
      </c>
      <c r="H105" s="11" t="s">
        <v>244</v>
      </c>
      <c r="I105" s="11" t="s">
        <v>231</v>
      </c>
      <c r="J105" s="40"/>
      <c r="K105" s="63">
        <f t="shared" si="7"/>
        <v>6.3</v>
      </c>
      <c r="L105">
        <f t="shared" si="6"/>
        <v>18</v>
      </c>
      <c r="M105">
        <f t="shared" si="4"/>
        <v>1.764</v>
      </c>
      <c r="N105" s="3" t="s">
        <v>481</v>
      </c>
      <c r="O105" s="2">
        <v>2</v>
      </c>
    </row>
    <row r="106" spans="1:15" ht="15.75" x14ac:dyDescent="0.25">
      <c r="A106" s="10"/>
      <c r="B106" s="11" t="s">
        <v>249</v>
      </c>
      <c r="C106" s="12" t="s">
        <v>123</v>
      </c>
      <c r="D106" s="12">
        <v>0.19500000000000001</v>
      </c>
      <c r="E106" s="11">
        <v>130</v>
      </c>
      <c r="F106" s="11">
        <v>1</v>
      </c>
      <c r="G106" s="11" t="s">
        <v>16</v>
      </c>
      <c r="H106" s="11" t="s">
        <v>244</v>
      </c>
      <c r="I106" s="11" t="s">
        <v>233</v>
      </c>
      <c r="J106" s="40"/>
      <c r="K106" s="63">
        <f t="shared" si="7"/>
        <v>4.875</v>
      </c>
      <c r="L106">
        <f t="shared" si="6"/>
        <v>18</v>
      </c>
      <c r="M106">
        <f t="shared" si="4"/>
        <v>1.365</v>
      </c>
      <c r="N106" s="3" t="s">
        <v>481</v>
      </c>
      <c r="O106" s="2">
        <v>2</v>
      </c>
    </row>
    <row r="107" spans="1:15" ht="15.75" x14ac:dyDescent="0.25">
      <c r="A107" s="10"/>
      <c r="B107" s="11" t="s">
        <v>254</v>
      </c>
      <c r="C107" s="12" t="s">
        <v>123</v>
      </c>
      <c r="D107" s="12">
        <v>0.216</v>
      </c>
      <c r="E107" s="11">
        <v>135</v>
      </c>
      <c r="F107" s="11">
        <v>1</v>
      </c>
      <c r="G107" s="11" t="s">
        <v>16</v>
      </c>
      <c r="H107" s="11" t="s">
        <v>244</v>
      </c>
      <c r="I107" s="11" t="s">
        <v>231</v>
      </c>
      <c r="J107" s="40"/>
      <c r="K107" s="63">
        <f t="shared" si="7"/>
        <v>5.4</v>
      </c>
      <c r="L107">
        <f t="shared" si="6"/>
        <v>18</v>
      </c>
      <c r="M107">
        <f t="shared" si="4"/>
        <v>1.512</v>
      </c>
      <c r="N107" s="3" t="s">
        <v>481</v>
      </c>
      <c r="O107" s="2">
        <v>2</v>
      </c>
    </row>
    <row r="108" spans="1:15" ht="15.75" x14ac:dyDescent="0.25">
      <c r="A108" s="10"/>
      <c r="B108" s="11" t="s">
        <v>250</v>
      </c>
      <c r="C108" s="12" t="s">
        <v>124</v>
      </c>
      <c r="D108" s="69">
        <v>0.20399999999999999</v>
      </c>
      <c r="E108" s="11">
        <v>131</v>
      </c>
      <c r="F108" s="11">
        <v>1</v>
      </c>
      <c r="G108" s="11" t="s">
        <v>16</v>
      </c>
      <c r="H108" s="11" t="s">
        <v>244</v>
      </c>
      <c r="I108" s="11" t="s">
        <v>233</v>
      </c>
      <c r="J108" s="40"/>
      <c r="K108" s="63">
        <f t="shared" si="7"/>
        <v>5.0999999999999996</v>
      </c>
      <c r="L108">
        <f t="shared" si="6"/>
        <v>18</v>
      </c>
      <c r="M108">
        <f t="shared" si="4"/>
        <v>1.4279999999999999</v>
      </c>
      <c r="N108" s="3" t="s">
        <v>481</v>
      </c>
      <c r="O108" s="2">
        <v>2</v>
      </c>
    </row>
    <row r="109" spans="1:15" ht="15.75" x14ac:dyDescent="0.25">
      <c r="A109" s="10"/>
      <c r="B109" s="11" t="s">
        <v>255</v>
      </c>
      <c r="C109" s="12" t="s">
        <v>124</v>
      </c>
      <c r="D109" s="12">
        <v>0.23499999999999999</v>
      </c>
      <c r="E109" s="11">
        <v>136</v>
      </c>
      <c r="F109" s="11">
        <v>1</v>
      </c>
      <c r="G109" s="11" t="s">
        <v>16</v>
      </c>
      <c r="H109" s="11" t="s">
        <v>244</v>
      </c>
      <c r="I109" s="11" t="s">
        <v>231</v>
      </c>
      <c r="J109" s="40"/>
      <c r="K109" s="63">
        <f t="shared" si="7"/>
        <v>5.875</v>
      </c>
      <c r="L109">
        <f t="shared" si="6"/>
        <v>18</v>
      </c>
      <c r="M109">
        <f t="shared" si="4"/>
        <v>1.645</v>
      </c>
      <c r="N109" s="3" t="s">
        <v>481</v>
      </c>
      <c r="O109" s="2">
        <v>2</v>
      </c>
    </row>
    <row r="110" spans="1:15" ht="15.75" x14ac:dyDescent="0.25">
      <c r="A110" s="10"/>
      <c r="B110" s="11" t="s">
        <v>251</v>
      </c>
      <c r="C110" s="11" t="s">
        <v>125</v>
      </c>
      <c r="D110" s="12">
        <v>0.111</v>
      </c>
      <c r="E110" s="11">
        <v>132</v>
      </c>
      <c r="F110" s="11">
        <v>1</v>
      </c>
      <c r="G110" s="11" t="s">
        <v>16</v>
      </c>
      <c r="H110" s="11" t="s">
        <v>244</v>
      </c>
      <c r="I110" s="11" t="s">
        <v>233</v>
      </c>
      <c r="J110" s="40"/>
      <c r="K110" s="63">
        <f t="shared" si="7"/>
        <v>2.7749999999999999</v>
      </c>
      <c r="L110">
        <f t="shared" si="6"/>
        <v>18</v>
      </c>
      <c r="M110">
        <f t="shared" si="4"/>
        <v>0.77700000000000002</v>
      </c>
      <c r="N110" s="3" t="s">
        <v>481</v>
      </c>
      <c r="O110" s="2">
        <v>2</v>
      </c>
    </row>
    <row r="111" spans="1:15" ht="15.75" x14ac:dyDescent="0.25">
      <c r="A111" s="10"/>
      <c r="B111" s="11" t="s">
        <v>256</v>
      </c>
      <c r="C111" s="11" t="s">
        <v>125</v>
      </c>
      <c r="D111" s="12">
        <v>0.14599999999999999</v>
      </c>
      <c r="E111" s="11">
        <v>137</v>
      </c>
      <c r="F111" s="11">
        <v>1</v>
      </c>
      <c r="G111" s="11" t="s">
        <v>16</v>
      </c>
      <c r="H111" s="11" t="s">
        <v>244</v>
      </c>
      <c r="I111" s="11" t="s">
        <v>231</v>
      </c>
      <c r="J111" s="40"/>
      <c r="K111" s="63">
        <f t="shared" si="7"/>
        <v>3.65</v>
      </c>
      <c r="L111">
        <f t="shared" si="6"/>
        <v>18</v>
      </c>
      <c r="M111">
        <f t="shared" si="4"/>
        <v>1.022</v>
      </c>
      <c r="N111" s="3" t="s">
        <v>481</v>
      </c>
      <c r="O111" s="2">
        <v>2</v>
      </c>
    </row>
    <row r="112" spans="1:15" ht="15.75" x14ac:dyDescent="0.25">
      <c r="A112" s="10"/>
      <c r="B112" s="11" t="s">
        <v>252</v>
      </c>
      <c r="C112" s="11" t="s">
        <v>127</v>
      </c>
      <c r="D112" s="12">
        <v>0.192</v>
      </c>
      <c r="E112" s="11">
        <v>133</v>
      </c>
      <c r="F112" s="11">
        <v>1</v>
      </c>
      <c r="G112" s="11" t="s">
        <v>16</v>
      </c>
      <c r="H112" s="11" t="s">
        <v>244</v>
      </c>
      <c r="I112" s="11" t="s">
        <v>231</v>
      </c>
      <c r="J112" s="40"/>
      <c r="K112" s="63">
        <f t="shared" si="7"/>
        <v>4.8</v>
      </c>
      <c r="L112">
        <f t="shared" si="6"/>
        <v>18</v>
      </c>
      <c r="M112">
        <f t="shared" si="4"/>
        <v>1.3440000000000001</v>
      </c>
      <c r="N112" s="3" t="s">
        <v>481</v>
      </c>
      <c r="O112" s="2">
        <v>2</v>
      </c>
    </row>
    <row r="113" spans="1:15" ht="15.75" x14ac:dyDescent="0.25">
      <c r="A113" s="10"/>
      <c r="B113" s="11" t="s">
        <v>257</v>
      </c>
      <c r="C113" s="11" t="s">
        <v>127</v>
      </c>
      <c r="D113" s="12">
        <v>0.309</v>
      </c>
      <c r="E113" s="11">
        <v>138</v>
      </c>
      <c r="F113" s="11">
        <v>1</v>
      </c>
      <c r="G113" s="11" t="s">
        <v>16</v>
      </c>
      <c r="H113" s="11" t="s">
        <v>244</v>
      </c>
      <c r="I113" s="11" t="s">
        <v>233</v>
      </c>
      <c r="J113" s="40"/>
      <c r="K113" s="63">
        <f t="shared" si="7"/>
        <v>7.7249999999999996</v>
      </c>
      <c r="L113">
        <f t="shared" si="6"/>
        <v>16.181229773462782</v>
      </c>
      <c r="M113">
        <f t="shared" si="4"/>
        <v>2.7250000000000005</v>
      </c>
      <c r="N113" s="3" t="s">
        <v>485</v>
      </c>
      <c r="O113" s="2">
        <v>2</v>
      </c>
    </row>
    <row r="114" spans="1:15" ht="30.75" x14ac:dyDescent="0.25">
      <c r="A114" s="37" t="s">
        <v>262</v>
      </c>
      <c r="B114" s="25" t="s">
        <v>263</v>
      </c>
      <c r="C114" s="12" t="s">
        <v>128</v>
      </c>
      <c r="D114" s="12">
        <v>0.29199999999999998</v>
      </c>
      <c r="E114" s="11">
        <v>6</v>
      </c>
      <c r="F114" s="11">
        <v>1</v>
      </c>
      <c r="G114" s="11" t="s">
        <v>16</v>
      </c>
      <c r="H114" s="11" t="s">
        <v>244</v>
      </c>
      <c r="I114" s="11" t="s">
        <v>233</v>
      </c>
      <c r="J114" s="40"/>
      <c r="K114" s="63">
        <f t="shared" si="7"/>
        <v>7.3</v>
      </c>
      <c r="L114">
        <f t="shared" si="6"/>
        <v>17.123287671232877</v>
      </c>
      <c r="M114">
        <f t="shared" si="4"/>
        <v>2.2999999999999998</v>
      </c>
      <c r="N114" s="3" t="s">
        <v>485</v>
      </c>
      <c r="O114" s="2">
        <v>2</v>
      </c>
    </row>
    <row r="115" spans="1:15" ht="30.75" x14ac:dyDescent="0.25">
      <c r="A115" s="37" t="s">
        <v>262</v>
      </c>
      <c r="B115" s="25" t="s">
        <v>265</v>
      </c>
      <c r="C115" s="12" t="s">
        <v>128</v>
      </c>
      <c r="D115" s="12">
        <v>0.26100000000000001</v>
      </c>
      <c r="E115" s="11">
        <v>8</v>
      </c>
      <c r="F115" s="11">
        <v>1</v>
      </c>
      <c r="G115" s="11" t="s">
        <v>16</v>
      </c>
      <c r="H115" s="11" t="s">
        <v>244</v>
      </c>
      <c r="I115" s="11" t="s">
        <v>231</v>
      </c>
      <c r="J115" s="40"/>
      <c r="K115" s="63">
        <f t="shared" si="7"/>
        <v>6.5250000000000004</v>
      </c>
      <c r="L115">
        <f t="shared" si="6"/>
        <v>18</v>
      </c>
      <c r="M115">
        <f t="shared" si="4"/>
        <v>1.827</v>
      </c>
      <c r="N115" s="3" t="s">
        <v>481</v>
      </c>
      <c r="O115" s="2">
        <v>2</v>
      </c>
    </row>
    <row r="116" spans="1:15" ht="30.75" x14ac:dyDescent="0.25">
      <c r="A116" s="24" t="s">
        <v>262</v>
      </c>
      <c r="B116" s="25" t="s">
        <v>264</v>
      </c>
      <c r="C116" s="12" t="s">
        <v>130</v>
      </c>
      <c r="D116" s="17">
        <v>0.30199999999999999</v>
      </c>
      <c r="E116" s="11">
        <v>7</v>
      </c>
      <c r="F116" s="18">
        <v>1</v>
      </c>
      <c r="G116" s="11" t="s">
        <v>16</v>
      </c>
      <c r="H116" s="11" t="s">
        <v>244</v>
      </c>
      <c r="I116" s="11" t="s">
        <v>233</v>
      </c>
      <c r="J116" s="40"/>
      <c r="K116" s="63">
        <f t="shared" si="7"/>
        <v>7.55</v>
      </c>
      <c r="L116">
        <f t="shared" si="6"/>
        <v>16.556291390728479</v>
      </c>
      <c r="M116">
        <f t="shared" si="4"/>
        <v>2.5499999999999994</v>
      </c>
      <c r="N116" s="3" t="s">
        <v>485</v>
      </c>
      <c r="O116" s="2">
        <v>2</v>
      </c>
    </row>
    <row r="117" spans="1:15" ht="30.75" x14ac:dyDescent="0.25">
      <c r="A117" s="37" t="s">
        <v>262</v>
      </c>
      <c r="B117" s="25" t="s">
        <v>266</v>
      </c>
      <c r="C117" s="17" t="s">
        <v>130</v>
      </c>
      <c r="D117" s="12">
        <v>0.36</v>
      </c>
      <c r="E117" s="11">
        <v>9</v>
      </c>
      <c r="F117" s="11">
        <v>1</v>
      </c>
      <c r="G117" s="11" t="s">
        <v>16</v>
      </c>
      <c r="H117" s="11" t="s">
        <v>244</v>
      </c>
      <c r="I117" s="11" t="s">
        <v>231</v>
      </c>
      <c r="J117" s="40"/>
      <c r="K117" s="63">
        <f t="shared" si="7"/>
        <v>9</v>
      </c>
      <c r="L117">
        <f t="shared" si="6"/>
        <v>13.888888888888889</v>
      </c>
      <c r="M117">
        <f t="shared" si="4"/>
        <v>3.9999999999999996</v>
      </c>
      <c r="N117" s="3" t="s">
        <v>485</v>
      </c>
      <c r="O117" s="2">
        <v>2</v>
      </c>
    </row>
    <row r="118" spans="1:15" ht="15.75" x14ac:dyDescent="0.25">
      <c r="A118" s="10"/>
      <c r="B118" s="25" t="s">
        <v>260</v>
      </c>
      <c r="C118" s="17" t="s">
        <v>131</v>
      </c>
      <c r="D118" s="12">
        <v>0.187</v>
      </c>
      <c r="E118" s="11">
        <v>93</v>
      </c>
      <c r="F118" s="11">
        <v>1</v>
      </c>
      <c r="G118" s="11" t="s">
        <v>16</v>
      </c>
      <c r="H118" s="11" t="s">
        <v>244</v>
      </c>
      <c r="I118" s="11" t="s">
        <v>231</v>
      </c>
      <c r="J118" s="40"/>
      <c r="K118" s="63">
        <f t="shared" si="7"/>
        <v>4.6749999999999998</v>
      </c>
      <c r="L118">
        <f t="shared" si="6"/>
        <v>18</v>
      </c>
      <c r="M118">
        <f t="shared" si="4"/>
        <v>1.3089999999999999</v>
      </c>
      <c r="N118" s="3" t="s">
        <v>481</v>
      </c>
      <c r="O118" s="2">
        <v>2</v>
      </c>
    </row>
    <row r="119" spans="1:15" ht="15.75" x14ac:dyDescent="0.25">
      <c r="A119" s="10"/>
      <c r="B119" s="25" t="s">
        <v>261</v>
      </c>
      <c r="C119" s="17" t="s">
        <v>131</v>
      </c>
      <c r="D119" s="23">
        <v>0.16200000000000001</v>
      </c>
      <c r="E119" s="11">
        <v>94</v>
      </c>
      <c r="F119" s="11">
        <v>1</v>
      </c>
      <c r="G119" s="11" t="s">
        <v>16</v>
      </c>
      <c r="H119" s="11" t="s">
        <v>244</v>
      </c>
      <c r="I119" s="11" t="s">
        <v>233</v>
      </c>
      <c r="J119" s="40"/>
      <c r="K119" s="63">
        <f t="shared" si="7"/>
        <v>4.05</v>
      </c>
      <c r="L119">
        <f t="shared" si="6"/>
        <v>18</v>
      </c>
      <c r="M119">
        <f t="shared" si="4"/>
        <v>1.1340000000000001</v>
      </c>
      <c r="N119" s="3" t="s">
        <v>481</v>
      </c>
      <c r="O119" s="2">
        <v>2</v>
      </c>
    </row>
    <row r="120" spans="1:15" ht="15.75" x14ac:dyDescent="0.25">
      <c r="A120" s="11" t="s">
        <v>267</v>
      </c>
      <c r="B120" s="11" t="s">
        <v>268</v>
      </c>
      <c r="C120" s="13" t="s">
        <v>133</v>
      </c>
      <c r="D120" s="12">
        <v>0.28100000000000003</v>
      </c>
      <c r="E120" s="11">
        <v>7</v>
      </c>
      <c r="F120" s="11">
        <v>1</v>
      </c>
      <c r="G120" s="11" t="s">
        <v>16</v>
      </c>
      <c r="H120" s="11" t="s">
        <v>244</v>
      </c>
      <c r="I120" s="11" t="s">
        <v>233</v>
      </c>
      <c r="J120" s="40"/>
      <c r="K120" s="63">
        <f t="shared" si="7"/>
        <v>7.0250000000000004</v>
      </c>
      <c r="L120">
        <f t="shared" si="6"/>
        <v>17.793594306049819</v>
      </c>
      <c r="M120">
        <f t="shared" si="4"/>
        <v>2.0250000000000012</v>
      </c>
      <c r="N120" s="3" t="s">
        <v>485</v>
      </c>
      <c r="O120" s="2">
        <v>2</v>
      </c>
    </row>
    <row r="121" spans="1:15" ht="15.75" x14ac:dyDescent="0.25">
      <c r="A121" s="11" t="s">
        <v>267</v>
      </c>
      <c r="B121" s="11" t="s">
        <v>270</v>
      </c>
      <c r="C121" s="13" t="s">
        <v>133</v>
      </c>
      <c r="D121" s="12">
        <v>0.29599999999999999</v>
      </c>
      <c r="E121" s="11">
        <v>9</v>
      </c>
      <c r="F121" s="11">
        <v>1</v>
      </c>
      <c r="G121" s="11" t="s">
        <v>16</v>
      </c>
      <c r="H121" s="11" t="s">
        <v>244</v>
      </c>
      <c r="I121" s="11" t="s">
        <v>231</v>
      </c>
      <c r="J121" s="40"/>
      <c r="K121" s="63">
        <f t="shared" si="7"/>
        <v>7.3999999999999995</v>
      </c>
      <c r="L121">
        <f t="shared" si="6"/>
        <v>16.891891891891891</v>
      </c>
      <c r="M121">
        <f t="shared" si="4"/>
        <v>2.4</v>
      </c>
      <c r="N121" s="3" t="s">
        <v>485</v>
      </c>
      <c r="O121" s="2">
        <v>2</v>
      </c>
    </row>
    <row r="122" spans="1:15" ht="15.75" x14ac:dyDescent="0.25">
      <c r="A122" s="11" t="s">
        <v>267</v>
      </c>
      <c r="B122" s="11" t="s">
        <v>269</v>
      </c>
      <c r="C122" s="13" t="s">
        <v>136</v>
      </c>
      <c r="D122" s="12">
        <v>0.27600000000000002</v>
      </c>
      <c r="E122" s="11">
        <v>8</v>
      </c>
      <c r="F122" s="11">
        <v>1</v>
      </c>
      <c r="G122" s="11" t="s">
        <v>16</v>
      </c>
      <c r="H122" s="11" t="s">
        <v>244</v>
      </c>
      <c r="I122" s="11" t="s">
        <v>233</v>
      </c>
      <c r="J122" s="40"/>
      <c r="K122" s="63">
        <f t="shared" si="7"/>
        <v>6.9</v>
      </c>
      <c r="L122">
        <f t="shared" si="6"/>
        <v>18</v>
      </c>
      <c r="M122">
        <f t="shared" si="4"/>
        <v>1.9320000000000002</v>
      </c>
      <c r="N122" s="3" t="s">
        <v>481</v>
      </c>
      <c r="O122" s="2">
        <v>2</v>
      </c>
    </row>
    <row r="123" spans="1:15" ht="15.75" x14ac:dyDescent="0.25">
      <c r="A123" s="11" t="s">
        <v>267</v>
      </c>
      <c r="B123" s="11" t="s">
        <v>271</v>
      </c>
      <c r="C123" s="13" t="s">
        <v>136</v>
      </c>
      <c r="D123" s="12">
        <v>0.27700000000000002</v>
      </c>
      <c r="E123" s="11">
        <v>10</v>
      </c>
      <c r="F123" s="11">
        <v>1</v>
      </c>
      <c r="G123" s="11" t="s">
        <v>16</v>
      </c>
      <c r="H123" s="11" t="s">
        <v>244</v>
      </c>
      <c r="I123" s="11" t="s">
        <v>231</v>
      </c>
      <c r="J123" s="40"/>
      <c r="K123" s="63">
        <f t="shared" si="7"/>
        <v>6.9250000000000007</v>
      </c>
      <c r="L123">
        <f t="shared" si="6"/>
        <v>18</v>
      </c>
      <c r="M123">
        <f t="shared" si="4"/>
        <v>1.9390000000000001</v>
      </c>
      <c r="N123" s="3" t="s">
        <v>481</v>
      </c>
      <c r="O123" s="2">
        <v>2</v>
      </c>
    </row>
    <row r="124" spans="1:15" ht="15.75" x14ac:dyDescent="0.25">
      <c r="A124" s="11" t="s">
        <v>272</v>
      </c>
      <c r="B124" s="11" t="s">
        <v>273</v>
      </c>
      <c r="C124" s="13" t="s">
        <v>137</v>
      </c>
      <c r="D124" s="34">
        <v>0.21</v>
      </c>
      <c r="E124" s="11">
        <v>19</v>
      </c>
      <c r="F124" s="11">
        <v>1</v>
      </c>
      <c r="G124" s="11" t="s">
        <v>16</v>
      </c>
      <c r="H124" s="11" t="s">
        <v>244</v>
      </c>
      <c r="I124" s="11" t="s">
        <v>233</v>
      </c>
      <c r="J124" s="13"/>
      <c r="K124" s="63">
        <f t="shared" si="7"/>
        <v>5.25</v>
      </c>
      <c r="L124">
        <f t="shared" si="6"/>
        <v>18</v>
      </c>
      <c r="M124">
        <f t="shared" si="4"/>
        <v>1.47</v>
      </c>
      <c r="N124" s="3" t="s">
        <v>481</v>
      </c>
      <c r="O124" s="2">
        <v>2</v>
      </c>
    </row>
    <row r="125" spans="1:15" ht="15.75" x14ac:dyDescent="0.25">
      <c r="A125" s="11" t="s">
        <v>272</v>
      </c>
      <c r="B125" s="11" t="s">
        <v>274</v>
      </c>
      <c r="C125" s="13" t="s">
        <v>137</v>
      </c>
      <c r="D125" s="12">
        <v>0.221</v>
      </c>
      <c r="E125" s="18">
        <v>20</v>
      </c>
      <c r="F125" s="26">
        <v>1</v>
      </c>
      <c r="G125" s="26" t="s">
        <v>16</v>
      </c>
      <c r="H125" s="26" t="s">
        <v>244</v>
      </c>
      <c r="I125" s="26" t="s">
        <v>231</v>
      </c>
      <c r="J125" s="13"/>
      <c r="K125" s="63">
        <f t="shared" si="7"/>
        <v>5.5250000000000004</v>
      </c>
      <c r="L125">
        <f t="shared" si="6"/>
        <v>18</v>
      </c>
      <c r="M125">
        <f t="shared" si="4"/>
        <v>1.5469999999999999</v>
      </c>
      <c r="N125" s="3" t="s">
        <v>481</v>
      </c>
      <c r="O125" s="2">
        <v>2</v>
      </c>
    </row>
    <row r="126" spans="1:15" ht="15.75" x14ac:dyDescent="0.25">
      <c r="A126" s="11" t="s">
        <v>272</v>
      </c>
      <c r="B126" s="11" t="s">
        <v>275</v>
      </c>
      <c r="C126" s="11" t="s">
        <v>138</v>
      </c>
      <c r="D126" s="12">
        <v>0.22700000000000001</v>
      </c>
      <c r="E126" s="11">
        <v>21</v>
      </c>
      <c r="F126" s="11">
        <v>1</v>
      </c>
      <c r="G126" s="11" t="s">
        <v>16</v>
      </c>
      <c r="H126" s="11" t="s">
        <v>244</v>
      </c>
      <c r="I126" s="11" t="s">
        <v>233</v>
      </c>
      <c r="J126" s="13"/>
      <c r="K126" s="63">
        <f t="shared" si="7"/>
        <v>5.6749999999999998</v>
      </c>
      <c r="L126">
        <f t="shared" si="6"/>
        <v>18</v>
      </c>
      <c r="M126">
        <f t="shared" si="4"/>
        <v>1.589</v>
      </c>
      <c r="N126" s="3" t="s">
        <v>481</v>
      </c>
      <c r="O126" s="2">
        <v>2</v>
      </c>
    </row>
    <row r="127" spans="1:15" ht="15.75" x14ac:dyDescent="0.25">
      <c r="A127" s="11" t="s">
        <v>272</v>
      </c>
      <c r="B127" s="11" t="s">
        <v>276</v>
      </c>
      <c r="C127" s="11" t="s">
        <v>138</v>
      </c>
      <c r="D127" s="12">
        <v>0.24299999999999999</v>
      </c>
      <c r="E127" s="11">
        <v>22</v>
      </c>
      <c r="F127" s="11">
        <v>1</v>
      </c>
      <c r="G127" s="11" t="s">
        <v>16</v>
      </c>
      <c r="H127" s="11" t="s">
        <v>244</v>
      </c>
      <c r="I127" s="11" t="s">
        <v>231</v>
      </c>
      <c r="J127" s="13"/>
      <c r="K127" s="63">
        <f t="shared" si="7"/>
        <v>6.0750000000000002</v>
      </c>
      <c r="L127">
        <f t="shared" si="6"/>
        <v>18</v>
      </c>
      <c r="M127">
        <f t="shared" si="4"/>
        <v>1.7010000000000001</v>
      </c>
      <c r="N127" s="3" t="s">
        <v>481</v>
      </c>
      <c r="O127" s="2">
        <v>2</v>
      </c>
    </row>
    <row r="128" spans="1:15" ht="15.75" x14ac:dyDescent="0.25">
      <c r="A128" s="10"/>
      <c r="B128" s="11" t="s">
        <v>277</v>
      </c>
      <c r="C128" s="11" t="s">
        <v>139</v>
      </c>
      <c r="D128" s="12">
        <v>0.151</v>
      </c>
      <c r="E128" s="10"/>
      <c r="F128" s="11">
        <v>1</v>
      </c>
      <c r="G128" s="11" t="s">
        <v>16</v>
      </c>
      <c r="H128" s="11" t="s">
        <v>244</v>
      </c>
      <c r="I128" s="11" t="s">
        <v>231</v>
      </c>
      <c r="J128" s="40"/>
      <c r="K128" s="63">
        <f t="shared" si="7"/>
        <v>3.7749999999999999</v>
      </c>
      <c r="L128">
        <f t="shared" si="6"/>
        <v>18</v>
      </c>
      <c r="M128">
        <f t="shared" si="4"/>
        <v>1.0569999999999999</v>
      </c>
      <c r="N128" s="3" t="s">
        <v>481</v>
      </c>
      <c r="O128" s="2">
        <v>2</v>
      </c>
    </row>
    <row r="129" spans="1:15" ht="15.75" x14ac:dyDescent="0.25">
      <c r="A129" s="10"/>
      <c r="B129" s="11" t="s">
        <v>278</v>
      </c>
      <c r="C129" s="11" t="s">
        <v>139</v>
      </c>
      <c r="D129" s="12">
        <v>0.13200000000000001</v>
      </c>
      <c r="E129" s="10"/>
      <c r="F129" s="11">
        <v>1</v>
      </c>
      <c r="G129" s="11" t="s">
        <v>16</v>
      </c>
      <c r="H129" s="11" t="s">
        <v>244</v>
      </c>
      <c r="I129" s="11" t="s">
        <v>233</v>
      </c>
      <c r="J129" s="40"/>
      <c r="K129" s="63">
        <f t="shared" si="7"/>
        <v>3.3000000000000003</v>
      </c>
      <c r="L129">
        <f t="shared" si="6"/>
        <v>18</v>
      </c>
      <c r="M129">
        <f t="shared" ref="M129:M190" si="8">(25-L129)*D129</f>
        <v>0.92400000000000004</v>
      </c>
      <c r="N129" s="3" t="s">
        <v>481</v>
      </c>
      <c r="O129" s="2">
        <v>2</v>
      </c>
    </row>
    <row r="130" spans="1:15" ht="15.75" x14ac:dyDescent="0.25">
      <c r="A130" s="30"/>
      <c r="B130" s="11" t="s">
        <v>282</v>
      </c>
      <c r="C130" s="11" t="s">
        <v>140</v>
      </c>
      <c r="D130" s="32">
        <v>0.25800000000000001</v>
      </c>
      <c r="E130" s="11"/>
      <c r="F130" s="31">
        <v>2</v>
      </c>
      <c r="G130" s="11" t="s">
        <v>16</v>
      </c>
      <c r="H130" s="11" t="s">
        <v>244</v>
      </c>
      <c r="I130" s="11" t="s">
        <v>231</v>
      </c>
      <c r="J130" s="40"/>
      <c r="K130" s="63">
        <f t="shared" ref="K130:K161" si="9">D130*25</f>
        <v>6.45</v>
      </c>
      <c r="L130">
        <f t="shared" ref="L130:L191" si="10">IF(5/D130&gt;18,18,5/D130)</f>
        <v>18</v>
      </c>
      <c r="M130">
        <f t="shared" si="8"/>
        <v>1.806</v>
      </c>
      <c r="N130" s="3" t="s">
        <v>481</v>
      </c>
      <c r="O130" s="31">
        <v>2</v>
      </c>
    </row>
    <row r="131" spans="1:15" ht="15.75" x14ac:dyDescent="0.25">
      <c r="A131" s="10"/>
      <c r="B131" s="11" t="s">
        <v>297</v>
      </c>
      <c r="C131" s="11" t="s">
        <v>141</v>
      </c>
      <c r="D131" s="12">
        <v>0.629</v>
      </c>
      <c r="E131" s="11">
        <v>15.725</v>
      </c>
      <c r="F131" s="35">
        <v>1.7</v>
      </c>
      <c r="G131" s="11" t="s">
        <v>16</v>
      </c>
      <c r="H131" s="11" t="s">
        <v>283</v>
      </c>
      <c r="I131" s="11" t="s">
        <v>231</v>
      </c>
      <c r="J131" s="57" t="s">
        <v>298</v>
      </c>
      <c r="K131" s="63">
        <f t="shared" si="9"/>
        <v>15.725</v>
      </c>
      <c r="L131">
        <f t="shared" si="10"/>
        <v>7.9491255961844196</v>
      </c>
      <c r="M131">
        <f t="shared" si="8"/>
        <v>10.725</v>
      </c>
      <c r="N131" s="3" t="s">
        <v>485</v>
      </c>
      <c r="O131" s="35">
        <v>1.7</v>
      </c>
    </row>
    <row r="132" spans="1:15" ht="15.75" x14ac:dyDescent="0.25">
      <c r="A132" s="10"/>
      <c r="B132" s="11" t="s">
        <v>299</v>
      </c>
      <c r="C132" s="11" t="s">
        <v>144</v>
      </c>
      <c r="D132" s="12">
        <v>0.45500000000000002</v>
      </c>
      <c r="E132" s="11">
        <v>11.375</v>
      </c>
      <c r="F132" s="35">
        <v>1.8</v>
      </c>
      <c r="G132" s="11" t="s">
        <v>16</v>
      </c>
      <c r="H132" s="11" t="s">
        <v>283</v>
      </c>
      <c r="I132" s="11" t="s">
        <v>231</v>
      </c>
      <c r="J132" s="57" t="s">
        <v>298</v>
      </c>
      <c r="K132" s="63">
        <f t="shared" si="9"/>
        <v>11.375</v>
      </c>
      <c r="L132">
        <f t="shared" si="10"/>
        <v>10.989010989010989</v>
      </c>
      <c r="M132">
        <f t="shared" si="8"/>
        <v>6.375</v>
      </c>
      <c r="N132" s="3" t="s">
        <v>485</v>
      </c>
      <c r="O132" s="35">
        <v>1.8</v>
      </c>
    </row>
    <row r="133" spans="1:15" ht="15.75" x14ac:dyDescent="0.25">
      <c r="A133" s="10"/>
      <c r="B133" s="11" t="s">
        <v>300</v>
      </c>
      <c r="C133" s="11" t="s">
        <v>145</v>
      </c>
      <c r="D133" s="12">
        <v>0.19500000000000001</v>
      </c>
      <c r="E133" s="11">
        <v>4.875</v>
      </c>
      <c r="F133" s="35">
        <v>1.7</v>
      </c>
      <c r="G133" s="11" t="s">
        <v>16</v>
      </c>
      <c r="H133" s="11" t="s">
        <v>283</v>
      </c>
      <c r="I133" s="11" t="s">
        <v>231</v>
      </c>
      <c r="J133" s="57" t="s">
        <v>298</v>
      </c>
      <c r="K133" s="63">
        <f t="shared" si="9"/>
        <v>4.875</v>
      </c>
      <c r="L133">
        <f t="shared" si="10"/>
        <v>18</v>
      </c>
      <c r="M133">
        <f t="shared" si="8"/>
        <v>1.365</v>
      </c>
      <c r="N133" s="3" t="s">
        <v>481</v>
      </c>
      <c r="O133" s="35">
        <v>1.7</v>
      </c>
    </row>
    <row r="134" spans="1:15" ht="15.75" x14ac:dyDescent="0.25">
      <c r="A134" s="10"/>
      <c r="B134" s="11" t="s">
        <v>303</v>
      </c>
      <c r="C134" s="11" t="s">
        <v>146</v>
      </c>
      <c r="D134" s="12">
        <v>0.76100000000000001</v>
      </c>
      <c r="E134" s="11">
        <v>15</v>
      </c>
      <c r="F134" s="31">
        <v>2</v>
      </c>
      <c r="G134" s="11" t="s">
        <v>16</v>
      </c>
      <c r="H134" s="11"/>
      <c r="I134" s="11" t="s">
        <v>231</v>
      </c>
      <c r="J134" s="40"/>
      <c r="K134" s="63">
        <f t="shared" si="9"/>
        <v>19.024999999999999</v>
      </c>
      <c r="L134">
        <f t="shared" si="10"/>
        <v>6.5703022339027592</v>
      </c>
      <c r="M134">
        <f t="shared" si="8"/>
        <v>14.025</v>
      </c>
      <c r="N134" s="3" t="s">
        <v>485</v>
      </c>
      <c r="O134" s="31">
        <v>2</v>
      </c>
    </row>
    <row r="135" spans="1:15" ht="15.75" x14ac:dyDescent="0.25">
      <c r="A135" s="10"/>
      <c r="B135" s="11" t="s">
        <v>304</v>
      </c>
      <c r="C135" s="11" t="s">
        <v>147</v>
      </c>
      <c r="D135" s="12">
        <v>0.34</v>
      </c>
      <c r="E135" s="11">
        <v>16</v>
      </c>
      <c r="F135" s="31">
        <v>2</v>
      </c>
      <c r="G135" s="11" t="s">
        <v>16</v>
      </c>
      <c r="H135" s="11"/>
      <c r="I135" s="11" t="s">
        <v>231</v>
      </c>
      <c r="J135" s="40"/>
      <c r="K135" s="63">
        <f t="shared" si="9"/>
        <v>8.5</v>
      </c>
      <c r="L135">
        <f t="shared" si="10"/>
        <v>14.705882352941176</v>
      </c>
      <c r="M135">
        <f t="shared" si="8"/>
        <v>3.5000000000000004</v>
      </c>
      <c r="N135" s="3" t="s">
        <v>485</v>
      </c>
      <c r="O135" s="31">
        <v>2</v>
      </c>
    </row>
    <row r="136" spans="1:15" ht="15.75" x14ac:dyDescent="0.25">
      <c r="A136" s="10"/>
      <c r="B136" s="11" t="s">
        <v>305</v>
      </c>
      <c r="C136" s="11" t="s">
        <v>148</v>
      </c>
      <c r="D136" s="12">
        <v>0.318</v>
      </c>
      <c r="E136" s="11">
        <v>17</v>
      </c>
      <c r="F136" s="31">
        <v>2</v>
      </c>
      <c r="G136" s="11" t="s">
        <v>16</v>
      </c>
      <c r="H136" s="11"/>
      <c r="I136" s="11" t="s">
        <v>231</v>
      </c>
      <c r="J136" s="40"/>
      <c r="K136" s="63">
        <f t="shared" si="9"/>
        <v>7.95</v>
      </c>
      <c r="L136">
        <f t="shared" si="10"/>
        <v>15.723270440251572</v>
      </c>
      <c r="M136">
        <f t="shared" si="8"/>
        <v>2.95</v>
      </c>
      <c r="N136" s="3" t="s">
        <v>485</v>
      </c>
      <c r="O136" s="31">
        <v>2</v>
      </c>
    </row>
    <row r="137" spans="1:15" ht="15.75" x14ac:dyDescent="0.25">
      <c r="A137" s="10"/>
      <c r="B137" s="11" t="s">
        <v>306</v>
      </c>
      <c r="C137" s="11" t="s">
        <v>149</v>
      </c>
      <c r="D137" s="12">
        <v>0.64300000000000002</v>
      </c>
      <c r="E137" s="11">
        <v>18</v>
      </c>
      <c r="F137" s="31">
        <v>2</v>
      </c>
      <c r="G137" s="11" t="s">
        <v>16</v>
      </c>
      <c r="H137" s="11"/>
      <c r="I137" s="11" t="s">
        <v>231</v>
      </c>
      <c r="J137" s="40"/>
      <c r="K137" s="63">
        <f t="shared" si="9"/>
        <v>16.074999999999999</v>
      </c>
      <c r="L137">
        <f t="shared" si="10"/>
        <v>7.7760497667185069</v>
      </c>
      <c r="M137">
        <f t="shared" si="8"/>
        <v>11.074999999999999</v>
      </c>
      <c r="N137" s="3" t="s">
        <v>485</v>
      </c>
      <c r="O137" s="31">
        <v>2</v>
      </c>
    </row>
    <row r="138" spans="1:15" ht="15.75" x14ac:dyDescent="0.25">
      <c r="A138" s="10"/>
      <c r="B138" s="11" t="s">
        <v>307</v>
      </c>
      <c r="C138" s="11" t="s">
        <v>150</v>
      </c>
      <c r="D138" s="12">
        <v>0.60799999999999998</v>
      </c>
      <c r="E138" s="11">
        <v>19</v>
      </c>
      <c r="F138" s="31">
        <v>2</v>
      </c>
      <c r="G138" s="11" t="s">
        <v>16</v>
      </c>
      <c r="H138" s="11"/>
      <c r="I138" s="11" t="s">
        <v>231</v>
      </c>
      <c r="J138" s="40"/>
      <c r="K138" s="63">
        <f t="shared" si="9"/>
        <v>15.2</v>
      </c>
      <c r="L138">
        <f t="shared" si="10"/>
        <v>8.2236842105263168</v>
      </c>
      <c r="M138">
        <f t="shared" si="8"/>
        <v>10.200000000000001</v>
      </c>
      <c r="N138" s="3" t="s">
        <v>485</v>
      </c>
      <c r="O138" s="31">
        <v>2</v>
      </c>
    </row>
    <row r="139" spans="1:15" ht="15.75" x14ac:dyDescent="0.25">
      <c r="A139" s="10"/>
      <c r="B139" s="11" t="s">
        <v>392</v>
      </c>
      <c r="C139" s="11" t="s">
        <v>174</v>
      </c>
      <c r="D139" s="12">
        <v>0.69399999999999995</v>
      </c>
      <c r="E139" s="11">
        <v>26</v>
      </c>
      <c r="F139" s="35">
        <v>1.9</v>
      </c>
      <c r="G139" s="11" t="s">
        <v>16</v>
      </c>
      <c r="H139" s="11" t="s">
        <v>283</v>
      </c>
      <c r="I139" s="11" t="s">
        <v>231</v>
      </c>
      <c r="J139" s="13"/>
      <c r="K139" s="63">
        <f t="shared" si="9"/>
        <v>17.349999999999998</v>
      </c>
      <c r="L139">
        <f t="shared" si="10"/>
        <v>7.2046109510086458</v>
      </c>
      <c r="M139">
        <f t="shared" si="8"/>
        <v>12.349999999999998</v>
      </c>
      <c r="N139" s="3" t="s">
        <v>485</v>
      </c>
      <c r="O139" s="35">
        <v>1.9</v>
      </c>
    </row>
    <row r="140" spans="1:15" ht="15.75" x14ac:dyDescent="0.25">
      <c r="A140" s="10"/>
      <c r="B140" s="11" t="s">
        <v>393</v>
      </c>
      <c r="C140" s="11" t="s">
        <v>175</v>
      </c>
      <c r="D140" s="12">
        <v>1.81</v>
      </c>
      <c r="E140" s="11">
        <v>27</v>
      </c>
      <c r="F140" s="35">
        <v>1.8</v>
      </c>
      <c r="G140" s="11" t="s">
        <v>16</v>
      </c>
      <c r="H140" s="11" t="s">
        <v>283</v>
      </c>
      <c r="I140" s="11" t="s">
        <v>231</v>
      </c>
      <c r="J140" s="13"/>
      <c r="K140" s="63">
        <f t="shared" si="9"/>
        <v>45.25</v>
      </c>
      <c r="L140">
        <f t="shared" si="10"/>
        <v>2.7624309392265194</v>
      </c>
      <c r="M140">
        <f t="shared" si="8"/>
        <v>40.25</v>
      </c>
      <c r="N140" s="3" t="s">
        <v>485</v>
      </c>
      <c r="O140" s="35">
        <v>1.8</v>
      </c>
    </row>
    <row r="141" spans="1:15" ht="15.75" x14ac:dyDescent="0.25">
      <c r="A141" s="10"/>
      <c r="B141" s="37" t="s">
        <v>320</v>
      </c>
      <c r="C141" s="11" t="s">
        <v>151</v>
      </c>
      <c r="D141" s="12">
        <v>0.67500000000000004</v>
      </c>
      <c r="E141" s="11">
        <v>16.875</v>
      </c>
      <c r="F141" s="31">
        <v>2</v>
      </c>
      <c r="G141" s="11" t="s">
        <v>16</v>
      </c>
      <c r="H141" s="11" t="s">
        <v>283</v>
      </c>
      <c r="I141" s="11" t="s">
        <v>241</v>
      </c>
      <c r="J141" s="40"/>
      <c r="K141" s="63">
        <f t="shared" si="9"/>
        <v>16.875</v>
      </c>
      <c r="L141">
        <f t="shared" si="10"/>
        <v>7.4074074074074066</v>
      </c>
      <c r="M141">
        <f t="shared" si="8"/>
        <v>11.875000000000002</v>
      </c>
      <c r="N141" s="3" t="s">
        <v>485</v>
      </c>
      <c r="O141" s="31">
        <v>2</v>
      </c>
    </row>
    <row r="142" spans="1:15" ht="15.75" x14ac:dyDescent="0.25">
      <c r="A142" s="10"/>
      <c r="B142" s="37" t="s">
        <v>321</v>
      </c>
      <c r="C142" s="11" t="s">
        <v>152</v>
      </c>
      <c r="D142" s="12">
        <v>0.53500000000000003</v>
      </c>
      <c r="E142" s="11">
        <v>13.375</v>
      </c>
      <c r="F142" s="31">
        <v>2</v>
      </c>
      <c r="G142" s="11" t="s">
        <v>16</v>
      </c>
      <c r="H142" s="11" t="s">
        <v>283</v>
      </c>
      <c r="I142" s="11" t="s">
        <v>241</v>
      </c>
      <c r="J142" s="40"/>
      <c r="K142" s="63">
        <f t="shared" si="9"/>
        <v>13.375</v>
      </c>
      <c r="L142">
        <f t="shared" si="10"/>
        <v>9.3457943925233646</v>
      </c>
      <c r="M142">
        <f t="shared" si="8"/>
        <v>8.375</v>
      </c>
      <c r="N142" s="3" t="s">
        <v>485</v>
      </c>
      <c r="O142" s="31">
        <v>2</v>
      </c>
    </row>
    <row r="143" spans="1:15" ht="15.75" x14ac:dyDescent="0.25">
      <c r="A143" s="10"/>
      <c r="B143" s="11" t="s">
        <v>322</v>
      </c>
      <c r="C143" s="13" t="s">
        <v>153</v>
      </c>
      <c r="D143" s="12">
        <v>0.309</v>
      </c>
      <c r="E143" s="11">
        <v>24</v>
      </c>
      <c r="F143" s="35">
        <v>1.7</v>
      </c>
      <c r="G143" s="11" t="s">
        <v>16</v>
      </c>
      <c r="H143" s="11" t="s">
        <v>283</v>
      </c>
      <c r="I143" s="11" t="s">
        <v>241</v>
      </c>
      <c r="J143" s="58"/>
      <c r="K143" s="63">
        <f t="shared" si="9"/>
        <v>7.7249999999999996</v>
      </c>
      <c r="L143">
        <f t="shared" si="10"/>
        <v>16.181229773462782</v>
      </c>
      <c r="M143">
        <f t="shared" si="8"/>
        <v>2.7250000000000005</v>
      </c>
      <c r="N143" s="3" t="s">
        <v>485</v>
      </c>
      <c r="O143" s="35">
        <v>1.7</v>
      </c>
    </row>
    <row r="144" spans="1:15" ht="15.75" x14ac:dyDescent="0.25">
      <c r="A144" s="10"/>
      <c r="B144" s="11" t="s">
        <v>323</v>
      </c>
      <c r="C144" s="13" t="s">
        <v>154</v>
      </c>
      <c r="D144" s="12">
        <v>0.49199999999999999</v>
      </c>
      <c r="E144" s="11">
        <v>25</v>
      </c>
      <c r="F144" s="31">
        <v>2</v>
      </c>
      <c r="G144" s="11" t="s">
        <v>16</v>
      </c>
      <c r="H144" s="11" t="s">
        <v>283</v>
      </c>
      <c r="I144" s="11" t="s">
        <v>241</v>
      </c>
      <c r="J144" s="58"/>
      <c r="K144" s="63">
        <f t="shared" si="9"/>
        <v>12.3</v>
      </c>
      <c r="L144">
        <f t="shared" si="10"/>
        <v>10.16260162601626</v>
      </c>
      <c r="M144">
        <f t="shared" si="8"/>
        <v>7.3</v>
      </c>
      <c r="N144" s="3" t="s">
        <v>485</v>
      </c>
      <c r="O144" s="31">
        <v>2</v>
      </c>
    </row>
    <row r="145" spans="1:15" ht="15.75" x14ac:dyDescent="0.25">
      <c r="A145" s="10"/>
      <c r="B145" s="11" t="s">
        <v>324</v>
      </c>
      <c r="C145" s="13" t="s">
        <v>155</v>
      </c>
      <c r="D145" s="12">
        <v>1.2</v>
      </c>
      <c r="E145" s="11">
        <v>26</v>
      </c>
      <c r="F145" s="35">
        <v>1.4</v>
      </c>
      <c r="G145" s="11" t="s">
        <v>16</v>
      </c>
      <c r="H145" s="11" t="s">
        <v>283</v>
      </c>
      <c r="I145" s="11" t="s">
        <v>241</v>
      </c>
      <c r="J145" s="59"/>
      <c r="K145" s="63">
        <f t="shared" si="9"/>
        <v>30</v>
      </c>
      <c r="L145">
        <f t="shared" si="10"/>
        <v>4.166666666666667</v>
      </c>
      <c r="M145">
        <f t="shared" si="8"/>
        <v>24.999999999999996</v>
      </c>
      <c r="N145" s="3" t="s">
        <v>485</v>
      </c>
      <c r="O145" s="35">
        <v>1.4</v>
      </c>
    </row>
    <row r="146" spans="1:15" ht="15.75" x14ac:dyDescent="0.25">
      <c r="A146" s="10"/>
      <c r="B146" s="11" t="s">
        <v>339</v>
      </c>
      <c r="C146" s="15" t="s">
        <v>156</v>
      </c>
      <c r="D146" s="12">
        <v>0.27300000000000002</v>
      </c>
      <c r="E146" s="11">
        <v>41</v>
      </c>
      <c r="F146" s="31">
        <v>2</v>
      </c>
      <c r="G146" s="11" t="s">
        <v>16</v>
      </c>
      <c r="H146" s="11" t="s">
        <v>244</v>
      </c>
      <c r="I146" s="11" t="s">
        <v>241</v>
      </c>
      <c r="J146" s="59"/>
      <c r="K146" s="63">
        <f t="shared" si="9"/>
        <v>6.8250000000000002</v>
      </c>
      <c r="L146">
        <f t="shared" si="10"/>
        <v>18</v>
      </c>
      <c r="M146">
        <f t="shared" si="8"/>
        <v>1.911</v>
      </c>
      <c r="N146" s="3" t="s">
        <v>481</v>
      </c>
      <c r="O146" s="31">
        <v>2</v>
      </c>
    </row>
    <row r="147" spans="1:15" ht="15.75" x14ac:dyDescent="0.25">
      <c r="A147" s="10"/>
      <c r="B147" s="11" t="s">
        <v>325</v>
      </c>
      <c r="C147" s="13" t="s">
        <v>157</v>
      </c>
      <c r="D147" s="12">
        <v>0.7</v>
      </c>
      <c r="E147" s="11">
        <v>27</v>
      </c>
      <c r="F147" s="35">
        <v>1.7</v>
      </c>
      <c r="G147" s="11" t="s">
        <v>16</v>
      </c>
      <c r="H147" s="11" t="s">
        <v>283</v>
      </c>
      <c r="I147" s="11" t="s">
        <v>241</v>
      </c>
      <c r="J147" s="59"/>
      <c r="K147" s="63">
        <f t="shared" si="9"/>
        <v>17.5</v>
      </c>
      <c r="L147">
        <f t="shared" si="10"/>
        <v>7.1428571428571432</v>
      </c>
      <c r="M147">
        <f t="shared" si="8"/>
        <v>12.5</v>
      </c>
      <c r="N147" s="3" t="s">
        <v>485</v>
      </c>
      <c r="O147" s="35">
        <v>1.7</v>
      </c>
    </row>
    <row r="148" spans="1:15" ht="15.75" x14ac:dyDescent="0.25">
      <c r="A148" s="10"/>
      <c r="B148" s="11" t="s">
        <v>340</v>
      </c>
      <c r="C148" s="13" t="s">
        <v>158</v>
      </c>
      <c r="D148" s="12">
        <v>1.58</v>
      </c>
      <c r="E148" s="11">
        <v>42</v>
      </c>
      <c r="F148" s="31">
        <v>2</v>
      </c>
      <c r="G148" s="11" t="s">
        <v>16</v>
      </c>
      <c r="H148" s="11" t="s">
        <v>244</v>
      </c>
      <c r="I148" s="11" t="s">
        <v>241</v>
      </c>
      <c r="J148" s="58"/>
      <c r="K148" s="63">
        <f t="shared" si="9"/>
        <v>39.5</v>
      </c>
      <c r="L148">
        <f t="shared" si="10"/>
        <v>3.1645569620253164</v>
      </c>
      <c r="M148">
        <f t="shared" si="8"/>
        <v>34.5</v>
      </c>
      <c r="N148" s="3" t="s">
        <v>485</v>
      </c>
      <c r="O148" s="31">
        <v>2</v>
      </c>
    </row>
    <row r="149" spans="1:15" ht="15.75" x14ac:dyDescent="0.25">
      <c r="A149" s="10"/>
      <c r="B149" s="11" t="s">
        <v>341</v>
      </c>
      <c r="C149" s="13" t="s">
        <v>159</v>
      </c>
      <c r="D149" s="12">
        <v>0.58299999999999996</v>
      </c>
      <c r="E149" s="11">
        <v>43</v>
      </c>
      <c r="F149" s="31">
        <v>2</v>
      </c>
      <c r="G149" s="11" t="s">
        <v>16</v>
      </c>
      <c r="H149" s="11" t="s">
        <v>244</v>
      </c>
      <c r="I149" s="11" t="s">
        <v>241</v>
      </c>
      <c r="J149" s="13"/>
      <c r="K149" s="63">
        <f t="shared" si="9"/>
        <v>14.574999999999999</v>
      </c>
      <c r="L149">
        <f t="shared" si="10"/>
        <v>8.5763293310463133</v>
      </c>
      <c r="M149">
        <f t="shared" si="8"/>
        <v>9.5749999999999993</v>
      </c>
      <c r="N149" s="3" t="s">
        <v>485</v>
      </c>
      <c r="O149" s="31">
        <v>2</v>
      </c>
    </row>
    <row r="150" spans="1:15" ht="15.75" x14ac:dyDescent="0.25">
      <c r="A150" s="10"/>
      <c r="B150" s="11" t="s">
        <v>342</v>
      </c>
      <c r="C150" s="11" t="s">
        <v>160</v>
      </c>
      <c r="D150" s="12">
        <v>0.48099999999999998</v>
      </c>
      <c r="E150" s="11">
        <v>44</v>
      </c>
      <c r="F150" s="31">
        <v>2</v>
      </c>
      <c r="G150" s="11" t="s">
        <v>16</v>
      </c>
      <c r="H150" s="11" t="s">
        <v>244</v>
      </c>
      <c r="I150" s="11" t="s">
        <v>241</v>
      </c>
      <c r="J150" s="13"/>
      <c r="K150" s="63">
        <f t="shared" si="9"/>
        <v>12.025</v>
      </c>
      <c r="L150">
        <f t="shared" si="10"/>
        <v>10.395010395010395</v>
      </c>
      <c r="M150">
        <f t="shared" si="8"/>
        <v>7.0249999999999995</v>
      </c>
      <c r="N150" s="3" t="s">
        <v>485</v>
      </c>
      <c r="O150" s="31">
        <v>2</v>
      </c>
    </row>
    <row r="151" spans="1:15" ht="15.75" x14ac:dyDescent="0.25">
      <c r="A151" s="10"/>
      <c r="B151" s="11" t="s">
        <v>348</v>
      </c>
      <c r="C151" s="11" t="s">
        <v>161</v>
      </c>
      <c r="D151" s="12">
        <v>1.06</v>
      </c>
      <c r="E151" s="10"/>
      <c r="F151" s="31">
        <v>2</v>
      </c>
      <c r="G151" s="11" t="s">
        <v>16</v>
      </c>
      <c r="H151" s="11" t="s">
        <v>283</v>
      </c>
      <c r="I151" s="11" t="s">
        <v>241</v>
      </c>
      <c r="J151" s="13">
        <v>26.5</v>
      </c>
      <c r="K151" s="63">
        <f t="shared" si="9"/>
        <v>26.5</v>
      </c>
      <c r="L151">
        <f t="shared" si="10"/>
        <v>4.7169811320754711</v>
      </c>
      <c r="M151">
        <f t="shared" si="8"/>
        <v>21.5</v>
      </c>
      <c r="N151" s="3" t="s">
        <v>485</v>
      </c>
      <c r="O151" s="31">
        <v>2</v>
      </c>
    </row>
    <row r="152" spans="1:15" ht="15.75" x14ac:dyDescent="0.25">
      <c r="A152" s="10"/>
      <c r="B152" s="11" t="s">
        <v>349</v>
      </c>
      <c r="C152" s="11" t="s">
        <v>162</v>
      </c>
      <c r="D152" s="12">
        <v>0.95799999999999996</v>
      </c>
      <c r="E152" s="10"/>
      <c r="F152" s="31">
        <v>2</v>
      </c>
      <c r="G152" s="11" t="s">
        <v>16</v>
      </c>
      <c r="H152" s="11" t="s">
        <v>283</v>
      </c>
      <c r="I152" s="11" t="s">
        <v>241</v>
      </c>
      <c r="J152" s="13">
        <v>23.95</v>
      </c>
      <c r="K152" s="63">
        <f t="shared" si="9"/>
        <v>23.95</v>
      </c>
      <c r="L152">
        <f t="shared" si="10"/>
        <v>5.2192066805845512</v>
      </c>
      <c r="M152">
        <f t="shared" si="8"/>
        <v>18.95</v>
      </c>
      <c r="N152" s="3" t="s">
        <v>485</v>
      </c>
      <c r="O152" s="31">
        <v>2</v>
      </c>
    </row>
    <row r="153" spans="1:15" ht="15.75" x14ac:dyDescent="0.25">
      <c r="A153" s="10"/>
      <c r="B153" s="11" t="s">
        <v>350</v>
      </c>
      <c r="C153" s="11" t="s">
        <v>163</v>
      </c>
      <c r="D153" s="12">
        <v>0.33400000000000002</v>
      </c>
      <c r="E153" s="10"/>
      <c r="F153" s="35">
        <v>1.5</v>
      </c>
      <c r="G153" s="11" t="s">
        <v>16</v>
      </c>
      <c r="H153" s="11" t="s">
        <v>283</v>
      </c>
      <c r="I153" s="11" t="s">
        <v>241</v>
      </c>
      <c r="J153" s="13">
        <v>8.35</v>
      </c>
      <c r="K153" s="63">
        <f t="shared" si="9"/>
        <v>8.35</v>
      </c>
      <c r="L153">
        <f t="shared" si="10"/>
        <v>14.97005988023952</v>
      </c>
      <c r="M153">
        <f t="shared" si="8"/>
        <v>3.3500000000000005</v>
      </c>
      <c r="N153" s="3" t="s">
        <v>485</v>
      </c>
      <c r="O153" s="35">
        <v>1.5</v>
      </c>
    </row>
    <row r="154" spans="1:15" ht="15.75" x14ac:dyDescent="0.25">
      <c r="A154" s="10"/>
      <c r="B154" s="11" t="s">
        <v>351</v>
      </c>
      <c r="C154" s="11" t="s">
        <v>164</v>
      </c>
      <c r="D154" s="12">
        <v>0.999</v>
      </c>
      <c r="E154" s="10"/>
      <c r="F154" s="35">
        <v>1.6</v>
      </c>
      <c r="G154" s="11" t="s">
        <v>16</v>
      </c>
      <c r="H154" s="11" t="s">
        <v>283</v>
      </c>
      <c r="I154" s="11" t="s">
        <v>241</v>
      </c>
      <c r="J154" s="13">
        <v>24.975000000000001</v>
      </c>
      <c r="K154" s="63">
        <f t="shared" si="9"/>
        <v>24.975000000000001</v>
      </c>
      <c r="L154">
        <f t="shared" si="10"/>
        <v>5.005005005005005</v>
      </c>
      <c r="M154">
        <f t="shared" si="8"/>
        <v>19.975000000000001</v>
      </c>
      <c r="N154" s="3" t="s">
        <v>485</v>
      </c>
      <c r="O154" s="35">
        <v>1.6</v>
      </c>
    </row>
    <row r="155" spans="1:15" ht="15.75" x14ac:dyDescent="0.25">
      <c r="A155" s="10"/>
      <c r="B155" s="11" t="s">
        <v>364</v>
      </c>
      <c r="C155" s="46" t="s">
        <v>165</v>
      </c>
      <c r="D155" s="12">
        <v>0.67800000000000005</v>
      </c>
      <c r="E155" s="10"/>
      <c r="F155" s="31">
        <v>2</v>
      </c>
      <c r="G155" s="11" t="s">
        <v>16</v>
      </c>
      <c r="H155" s="11" t="s">
        <v>283</v>
      </c>
      <c r="I155" s="11" t="s">
        <v>231</v>
      </c>
      <c r="J155" s="40"/>
      <c r="K155" s="63">
        <f t="shared" si="9"/>
        <v>16.950000000000003</v>
      </c>
      <c r="L155">
        <f t="shared" si="10"/>
        <v>7.3746312684365778</v>
      </c>
      <c r="M155">
        <f t="shared" si="8"/>
        <v>11.950000000000001</v>
      </c>
      <c r="N155" s="3" t="s">
        <v>485</v>
      </c>
      <c r="O155" s="31">
        <v>2</v>
      </c>
    </row>
    <row r="156" spans="1:15" ht="15.75" x14ac:dyDescent="0.25">
      <c r="A156" s="10"/>
      <c r="B156" s="11" t="s">
        <v>365</v>
      </c>
      <c r="C156" s="46" t="s">
        <v>166</v>
      </c>
      <c r="D156" s="12">
        <v>0.33300000000000002</v>
      </c>
      <c r="E156" s="10"/>
      <c r="F156" s="31">
        <v>2</v>
      </c>
      <c r="G156" s="11" t="s">
        <v>16</v>
      </c>
      <c r="H156" s="11" t="s">
        <v>283</v>
      </c>
      <c r="I156" s="11" t="s">
        <v>231</v>
      </c>
      <c r="J156" s="13"/>
      <c r="K156" s="63">
        <f t="shared" si="9"/>
        <v>8.3250000000000011</v>
      </c>
      <c r="L156">
        <f t="shared" si="10"/>
        <v>15.015015015015015</v>
      </c>
      <c r="M156">
        <f t="shared" si="8"/>
        <v>3.3250000000000002</v>
      </c>
      <c r="N156" s="3" t="s">
        <v>485</v>
      </c>
      <c r="O156" s="31">
        <v>2</v>
      </c>
    </row>
    <row r="157" spans="1:15" ht="15.75" x14ac:dyDescent="0.25">
      <c r="A157" s="10"/>
      <c r="B157" s="11" t="s">
        <v>366</v>
      </c>
      <c r="C157" s="46" t="s">
        <v>167</v>
      </c>
      <c r="D157" s="12">
        <v>0.51400000000000001</v>
      </c>
      <c r="E157" s="10"/>
      <c r="F157" s="35">
        <v>1.4</v>
      </c>
      <c r="G157" s="11" t="s">
        <v>16</v>
      </c>
      <c r="H157" s="11" t="s">
        <v>283</v>
      </c>
      <c r="I157" s="11" t="s">
        <v>231</v>
      </c>
      <c r="J157" s="13"/>
      <c r="K157" s="63">
        <f t="shared" si="9"/>
        <v>12.85</v>
      </c>
      <c r="L157">
        <f t="shared" si="10"/>
        <v>9.7276264591439681</v>
      </c>
      <c r="M157">
        <f t="shared" si="8"/>
        <v>7.8500000000000005</v>
      </c>
      <c r="N157" s="3" t="s">
        <v>485</v>
      </c>
      <c r="O157" s="35">
        <v>1.4</v>
      </c>
    </row>
    <row r="158" spans="1:15" ht="15.75" x14ac:dyDescent="0.25">
      <c r="A158" s="10"/>
      <c r="B158" s="11" t="s">
        <v>367</v>
      </c>
      <c r="C158" s="46" t="s">
        <v>168</v>
      </c>
      <c r="D158" s="12">
        <v>0.59</v>
      </c>
      <c r="E158" s="10"/>
      <c r="F158" s="31">
        <v>2</v>
      </c>
      <c r="G158" s="11" t="s">
        <v>16</v>
      </c>
      <c r="H158" s="11" t="s">
        <v>283</v>
      </c>
      <c r="I158" s="11" t="s">
        <v>231</v>
      </c>
      <c r="J158" s="40"/>
      <c r="K158" s="63">
        <f t="shared" si="9"/>
        <v>14.75</v>
      </c>
      <c r="L158">
        <f t="shared" si="10"/>
        <v>8.4745762711864412</v>
      </c>
      <c r="M158">
        <f t="shared" si="8"/>
        <v>9.7499999999999982</v>
      </c>
      <c r="N158" s="3" t="s">
        <v>485</v>
      </c>
      <c r="O158" s="31">
        <v>2</v>
      </c>
    </row>
    <row r="159" spans="1:15" ht="15.75" x14ac:dyDescent="0.25">
      <c r="A159" s="42"/>
      <c r="B159" s="43" t="s">
        <v>368</v>
      </c>
      <c r="C159" s="47" t="s">
        <v>169</v>
      </c>
      <c r="D159" s="70">
        <v>1.88</v>
      </c>
      <c r="E159" s="42" t="s">
        <v>369</v>
      </c>
      <c r="F159" s="36">
        <v>1.5</v>
      </c>
      <c r="G159" s="74" t="s">
        <v>16</v>
      </c>
      <c r="H159" s="74" t="s">
        <v>283</v>
      </c>
      <c r="I159" s="74" t="s">
        <v>231</v>
      </c>
      <c r="J159" s="76"/>
      <c r="K159" s="63">
        <f t="shared" si="9"/>
        <v>47</v>
      </c>
      <c r="L159">
        <f t="shared" si="10"/>
        <v>2.6595744680851063</v>
      </c>
      <c r="M159">
        <f t="shared" si="8"/>
        <v>41.999999999999993</v>
      </c>
      <c r="N159" s="3" t="s">
        <v>485</v>
      </c>
      <c r="O159" s="36">
        <v>1.5</v>
      </c>
    </row>
    <row r="160" spans="1:15" ht="15.75" x14ac:dyDescent="0.25">
      <c r="A160" s="42"/>
      <c r="B160" s="43" t="s">
        <v>370</v>
      </c>
      <c r="C160" s="67" t="s">
        <v>170</v>
      </c>
      <c r="D160" s="44">
        <v>0.35599999999999998</v>
      </c>
      <c r="E160" s="42" t="s">
        <v>371</v>
      </c>
      <c r="F160" s="31">
        <v>2</v>
      </c>
      <c r="G160" s="43" t="s">
        <v>16</v>
      </c>
      <c r="H160" s="43" t="s">
        <v>283</v>
      </c>
      <c r="I160" s="43" t="s">
        <v>231</v>
      </c>
      <c r="J160" s="61"/>
      <c r="K160" s="63">
        <f t="shared" si="9"/>
        <v>8.9</v>
      </c>
      <c r="L160">
        <f t="shared" si="10"/>
        <v>14.04494382022472</v>
      </c>
      <c r="M160">
        <f t="shared" si="8"/>
        <v>3.8999999999999995</v>
      </c>
      <c r="N160" s="3" t="s">
        <v>485</v>
      </c>
      <c r="O160" s="31">
        <v>2</v>
      </c>
    </row>
    <row r="161" spans="1:15" ht="15.75" x14ac:dyDescent="0.25">
      <c r="A161" s="10"/>
      <c r="B161" s="11" t="s">
        <v>372</v>
      </c>
      <c r="C161" s="68" t="s">
        <v>171</v>
      </c>
      <c r="D161" s="12">
        <v>0.73799999999999999</v>
      </c>
      <c r="E161" s="10"/>
      <c r="F161" s="35">
        <v>1.5</v>
      </c>
      <c r="G161" s="11" t="s">
        <v>16</v>
      </c>
      <c r="H161" s="11" t="s">
        <v>283</v>
      </c>
      <c r="I161" s="11" t="s">
        <v>231</v>
      </c>
      <c r="J161" s="40"/>
      <c r="K161" s="63">
        <f t="shared" si="9"/>
        <v>18.45</v>
      </c>
      <c r="L161">
        <f t="shared" si="10"/>
        <v>6.7750677506775068</v>
      </c>
      <c r="M161">
        <f t="shared" si="8"/>
        <v>13.45</v>
      </c>
      <c r="N161" s="3" t="s">
        <v>485</v>
      </c>
      <c r="O161" s="35">
        <v>1.5</v>
      </c>
    </row>
    <row r="162" spans="1:15" ht="15.75" x14ac:dyDescent="0.25">
      <c r="A162" s="10"/>
      <c r="B162" s="11" t="s">
        <v>373</v>
      </c>
      <c r="C162" s="13" t="s">
        <v>172</v>
      </c>
      <c r="D162" s="12">
        <v>1.19</v>
      </c>
      <c r="E162" s="10"/>
      <c r="F162" s="31">
        <v>2</v>
      </c>
      <c r="G162" s="11" t="s">
        <v>16</v>
      </c>
      <c r="H162" s="11" t="s">
        <v>283</v>
      </c>
      <c r="I162" s="11" t="s">
        <v>231</v>
      </c>
      <c r="J162" s="40"/>
      <c r="K162" s="63">
        <f t="shared" ref="K162:K195" si="11">D162*25</f>
        <v>29.75</v>
      </c>
      <c r="L162">
        <f t="shared" si="10"/>
        <v>4.2016806722689077</v>
      </c>
      <c r="M162">
        <f t="shared" si="8"/>
        <v>24.75</v>
      </c>
      <c r="N162" s="3" t="s">
        <v>485</v>
      </c>
      <c r="O162" s="31">
        <v>2</v>
      </c>
    </row>
    <row r="163" spans="1:15" ht="15.75" x14ac:dyDescent="0.25">
      <c r="A163" s="11" t="s">
        <v>378</v>
      </c>
      <c r="B163" s="37" t="s">
        <v>379</v>
      </c>
      <c r="C163" s="13" t="s">
        <v>176</v>
      </c>
      <c r="D163" s="12">
        <v>0.39700000000000002</v>
      </c>
      <c r="E163" s="11"/>
      <c r="F163" s="31">
        <v>2</v>
      </c>
      <c r="G163" s="11" t="s">
        <v>16</v>
      </c>
      <c r="H163" s="11" t="s">
        <v>244</v>
      </c>
      <c r="I163" s="11" t="s">
        <v>231</v>
      </c>
      <c r="J163" s="13"/>
      <c r="K163" s="63">
        <f t="shared" si="11"/>
        <v>9.9250000000000007</v>
      </c>
      <c r="L163">
        <f t="shared" si="10"/>
        <v>12.594458438287154</v>
      </c>
      <c r="M163">
        <f t="shared" si="8"/>
        <v>4.9249999999999998</v>
      </c>
      <c r="N163" s="3" t="s">
        <v>485</v>
      </c>
      <c r="O163" s="31">
        <v>2</v>
      </c>
    </row>
    <row r="164" spans="1:15" ht="15.75" x14ac:dyDescent="0.25">
      <c r="A164" s="10"/>
      <c r="B164" s="11" t="s">
        <v>394</v>
      </c>
      <c r="C164" s="13" t="s">
        <v>177</v>
      </c>
      <c r="D164" s="12">
        <v>4.74</v>
      </c>
      <c r="E164" s="11">
        <v>28</v>
      </c>
      <c r="F164" s="35">
        <v>1.5</v>
      </c>
      <c r="G164" s="11" t="s">
        <v>16</v>
      </c>
      <c r="H164" s="11" t="s">
        <v>283</v>
      </c>
      <c r="I164" s="11" t="s">
        <v>231</v>
      </c>
      <c r="J164" s="13"/>
      <c r="K164" s="63">
        <f t="shared" si="11"/>
        <v>118.5</v>
      </c>
      <c r="L164">
        <f t="shared" si="10"/>
        <v>1.0548523206751055</v>
      </c>
      <c r="M164">
        <f t="shared" si="8"/>
        <v>113.5</v>
      </c>
      <c r="N164" s="3" t="s">
        <v>485</v>
      </c>
      <c r="O164" s="35">
        <v>1.5</v>
      </c>
    </row>
    <row r="165" spans="1:15" ht="15.75" x14ac:dyDescent="0.25">
      <c r="A165" s="11"/>
      <c r="B165" s="37" t="s">
        <v>380</v>
      </c>
      <c r="C165" s="66" t="s">
        <v>178</v>
      </c>
      <c r="D165" s="12">
        <v>0.34799999999999998</v>
      </c>
      <c r="E165" s="11"/>
      <c r="F165" s="31">
        <v>2</v>
      </c>
      <c r="G165" s="11" t="s">
        <v>16</v>
      </c>
      <c r="H165" s="11" t="s">
        <v>244</v>
      </c>
      <c r="I165" s="11" t="s">
        <v>231</v>
      </c>
      <c r="J165" s="13"/>
      <c r="K165" s="63">
        <f t="shared" si="11"/>
        <v>8.6999999999999993</v>
      </c>
      <c r="L165">
        <f t="shared" si="10"/>
        <v>14.367816091954024</v>
      </c>
      <c r="M165">
        <f t="shared" si="8"/>
        <v>3.6999999999999993</v>
      </c>
      <c r="N165" s="3" t="s">
        <v>485</v>
      </c>
      <c r="O165" s="31">
        <v>2</v>
      </c>
    </row>
    <row r="166" spans="1:15" ht="15.75" x14ac:dyDescent="0.25">
      <c r="A166" s="10"/>
      <c r="B166" s="37" t="s">
        <v>377</v>
      </c>
      <c r="C166" s="11" t="s">
        <v>179</v>
      </c>
      <c r="D166" s="12">
        <v>0.47499999999999998</v>
      </c>
      <c r="E166" s="11"/>
      <c r="F166" s="35">
        <v>1.5</v>
      </c>
      <c r="G166" s="11" t="s">
        <v>16</v>
      </c>
      <c r="H166" s="11" t="s">
        <v>283</v>
      </c>
      <c r="I166" s="18" t="s">
        <v>231</v>
      </c>
      <c r="J166" s="13"/>
      <c r="K166" s="63">
        <f t="shared" si="11"/>
        <v>11.875</v>
      </c>
      <c r="L166">
        <f t="shared" si="10"/>
        <v>10.526315789473685</v>
      </c>
      <c r="M166">
        <f t="shared" si="8"/>
        <v>6.8749999999999991</v>
      </c>
      <c r="N166" s="3" t="s">
        <v>485</v>
      </c>
      <c r="O166" s="35">
        <v>1.5</v>
      </c>
    </row>
    <row r="167" spans="1:15" ht="15.75" x14ac:dyDescent="0.25">
      <c r="A167" s="10"/>
      <c r="B167" s="11" t="s">
        <v>395</v>
      </c>
      <c r="C167" s="11" t="s">
        <v>180</v>
      </c>
      <c r="D167" s="12">
        <v>0.433</v>
      </c>
      <c r="E167" s="11">
        <v>29</v>
      </c>
      <c r="F167" s="31">
        <v>2</v>
      </c>
      <c r="G167" s="11" t="s">
        <v>16</v>
      </c>
      <c r="H167" s="11" t="s">
        <v>283</v>
      </c>
      <c r="I167" s="18" t="s">
        <v>231</v>
      </c>
      <c r="J167" s="13"/>
      <c r="K167" s="63">
        <f t="shared" si="11"/>
        <v>10.824999999999999</v>
      </c>
      <c r="L167">
        <f t="shared" si="10"/>
        <v>11.547344110854503</v>
      </c>
      <c r="M167">
        <f t="shared" si="8"/>
        <v>5.8250000000000002</v>
      </c>
      <c r="N167" s="3" t="s">
        <v>485</v>
      </c>
      <c r="O167" s="31">
        <v>2</v>
      </c>
    </row>
    <row r="168" spans="1:15" ht="15.75" x14ac:dyDescent="0.25">
      <c r="A168" s="10"/>
      <c r="B168" s="11" t="s">
        <v>396</v>
      </c>
      <c r="C168" s="11" t="s">
        <v>181</v>
      </c>
      <c r="D168" s="12">
        <v>0.35099999999999998</v>
      </c>
      <c r="E168" s="11">
        <v>30</v>
      </c>
      <c r="F168" s="35">
        <v>1.7</v>
      </c>
      <c r="G168" s="11" t="s">
        <v>16</v>
      </c>
      <c r="H168" s="11" t="s">
        <v>283</v>
      </c>
      <c r="I168" s="18" t="s">
        <v>231</v>
      </c>
      <c r="J168" s="13"/>
      <c r="K168" s="63">
        <f t="shared" si="11"/>
        <v>8.7749999999999986</v>
      </c>
      <c r="L168">
        <f t="shared" si="10"/>
        <v>14.245014245014247</v>
      </c>
      <c r="M168">
        <f t="shared" si="8"/>
        <v>3.7749999999999995</v>
      </c>
      <c r="N168" s="3" t="s">
        <v>485</v>
      </c>
      <c r="O168" s="35">
        <v>1.7</v>
      </c>
    </row>
    <row r="169" spans="1:15" ht="15.75" x14ac:dyDescent="0.25">
      <c r="A169" s="10"/>
      <c r="B169" s="11" t="s">
        <v>397</v>
      </c>
      <c r="C169" s="11" t="s">
        <v>213</v>
      </c>
      <c r="D169" s="12">
        <v>0.83699999999999997</v>
      </c>
      <c r="E169" s="11">
        <v>31</v>
      </c>
      <c r="F169" s="31">
        <v>2</v>
      </c>
      <c r="G169" s="11" t="s">
        <v>16</v>
      </c>
      <c r="H169" s="11" t="s">
        <v>283</v>
      </c>
      <c r="I169" s="18" t="s">
        <v>231</v>
      </c>
      <c r="J169" s="13"/>
      <c r="K169" s="63">
        <f t="shared" si="11"/>
        <v>20.925000000000001</v>
      </c>
      <c r="L169">
        <f t="shared" si="10"/>
        <v>5.9737156511350058</v>
      </c>
      <c r="M169">
        <f t="shared" si="8"/>
        <v>15.924999999999999</v>
      </c>
      <c r="N169" s="3" t="s">
        <v>485</v>
      </c>
      <c r="O169" s="31">
        <v>2</v>
      </c>
    </row>
    <row r="170" spans="1:15" ht="15.75" x14ac:dyDescent="0.25">
      <c r="A170" s="10"/>
      <c r="B170" s="11" t="s">
        <v>398</v>
      </c>
      <c r="C170" s="11" t="s">
        <v>399</v>
      </c>
      <c r="D170" s="12">
        <v>1.34</v>
      </c>
      <c r="E170" s="10"/>
      <c r="F170" s="35">
        <v>1.8</v>
      </c>
      <c r="G170" s="11" t="s">
        <v>16</v>
      </c>
      <c r="H170" s="10"/>
      <c r="I170" s="18" t="s">
        <v>231</v>
      </c>
      <c r="J170" s="40"/>
      <c r="K170" s="63">
        <f t="shared" si="11"/>
        <v>33.5</v>
      </c>
      <c r="L170">
        <f t="shared" si="10"/>
        <v>3.7313432835820892</v>
      </c>
      <c r="M170">
        <f t="shared" si="8"/>
        <v>28.500000000000004</v>
      </c>
      <c r="N170" s="3" t="s">
        <v>485</v>
      </c>
      <c r="O170" s="35">
        <v>1.8</v>
      </c>
    </row>
    <row r="171" spans="1:15" ht="15.75" x14ac:dyDescent="0.25">
      <c r="A171" s="10"/>
      <c r="B171" s="11" t="s">
        <v>400</v>
      </c>
      <c r="C171" s="11" t="s">
        <v>401</v>
      </c>
      <c r="D171" s="12">
        <v>0.42799999999999999</v>
      </c>
      <c r="E171" s="10"/>
      <c r="F171" s="35">
        <v>1.8</v>
      </c>
      <c r="G171" s="11" t="s">
        <v>16</v>
      </c>
      <c r="H171" s="10"/>
      <c r="I171" s="18" t="s">
        <v>231</v>
      </c>
      <c r="J171" s="40"/>
      <c r="K171" s="63">
        <f t="shared" si="11"/>
        <v>10.7</v>
      </c>
      <c r="L171">
        <f t="shared" si="10"/>
        <v>11.682242990654206</v>
      </c>
      <c r="M171">
        <f t="shared" si="8"/>
        <v>5.6999999999999993</v>
      </c>
      <c r="N171" s="3" t="s">
        <v>485</v>
      </c>
      <c r="O171" s="35">
        <v>1.8</v>
      </c>
    </row>
    <row r="172" spans="1:15" ht="15.75" x14ac:dyDescent="0.25">
      <c r="A172" s="10"/>
      <c r="B172" s="11" t="s">
        <v>402</v>
      </c>
      <c r="C172" s="11" t="s">
        <v>403</v>
      </c>
      <c r="D172" s="12">
        <v>1.48</v>
      </c>
      <c r="E172" s="10"/>
      <c r="F172" s="31">
        <v>2</v>
      </c>
      <c r="G172" s="11" t="s">
        <v>16</v>
      </c>
      <c r="H172" s="11"/>
      <c r="I172" s="18" t="s">
        <v>231</v>
      </c>
      <c r="J172" s="40"/>
      <c r="K172" s="63">
        <f t="shared" si="11"/>
        <v>37</v>
      </c>
      <c r="L172">
        <f t="shared" si="10"/>
        <v>3.3783783783783785</v>
      </c>
      <c r="M172">
        <f t="shared" si="8"/>
        <v>32</v>
      </c>
      <c r="N172" s="3" t="s">
        <v>485</v>
      </c>
      <c r="O172" s="31">
        <v>2</v>
      </c>
    </row>
    <row r="173" spans="1:15" ht="15.75" x14ac:dyDescent="0.25">
      <c r="A173" s="10"/>
      <c r="B173" s="11" t="s">
        <v>404</v>
      </c>
      <c r="C173" s="11" t="s">
        <v>405</v>
      </c>
      <c r="D173" s="12">
        <v>0.40100000000000002</v>
      </c>
      <c r="E173" s="10"/>
      <c r="F173" s="31">
        <v>2</v>
      </c>
      <c r="G173" s="11" t="s">
        <v>16</v>
      </c>
      <c r="H173" s="11"/>
      <c r="I173" s="18" t="s">
        <v>231</v>
      </c>
      <c r="J173" s="40"/>
      <c r="K173" s="63">
        <f t="shared" si="11"/>
        <v>10.025</v>
      </c>
      <c r="L173">
        <f t="shared" si="10"/>
        <v>12.468827930174562</v>
      </c>
      <c r="M173">
        <f t="shared" si="8"/>
        <v>5.0250000000000004</v>
      </c>
      <c r="N173" s="3" t="s">
        <v>485</v>
      </c>
      <c r="O173" s="31">
        <v>2</v>
      </c>
    </row>
    <row r="174" spans="1:15" ht="15.75" x14ac:dyDescent="0.25">
      <c r="A174" s="10"/>
      <c r="B174" s="11" t="s">
        <v>406</v>
      </c>
      <c r="C174" s="11" t="s">
        <v>407</v>
      </c>
      <c r="D174" s="12">
        <v>0.35299999999999998</v>
      </c>
      <c r="E174" s="10"/>
      <c r="F174" s="35">
        <v>1.5</v>
      </c>
      <c r="G174" s="11" t="s">
        <v>16</v>
      </c>
      <c r="H174" s="11"/>
      <c r="I174" s="18" t="s">
        <v>231</v>
      </c>
      <c r="J174" s="40"/>
      <c r="K174" s="63">
        <f t="shared" si="11"/>
        <v>8.8249999999999993</v>
      </c>
      <c r="L174">
        <f t="shared" si="10"/>
        <v>14.164305949008499</v>
      </c>
      <c r="M174">
        <f t="shared" si="8"/>
        <v>3.8249999999999997</v>
      </c>
      <c r="N174" s="3" t="s">
        <v>485</v>
      </c>
      <c r="O174" s="35">
        <v>1.5</v>
      </c>
    </row>
    <row r="175" spans="1:15" ht="15.75" x14ac:dyDescent="0.25">
      <c r="A175" s="10"/>
      <c r="B175" s="11" t="s">
        <v>408</v>
      </c>
      <c r="C175" s="11" t="s">
        <v>409</v>
      </c>
      <c r="D175" s="12">
        <v>0.67500000000000004</v>
      </c>
      <c r="E175" s="10"/>
      <c r="F175" s="35">
        <v>1.5</v>
      </c>
      <c r="G175" s="11" t="s">
        <v>16</v>
      </c>
      <c r="H175" s="11"/>
      <c r="I175" s="18" t="s">
        <v>231</v>
      </c>
      <c r="J175" s="40"/>
      <c r="K175" s="63">
        <f t="shared" si="11"/>
        <v>16.875</v>
      </c>
      <c r="L175">
        <f t="shared" si="10"/>
        <v>7.4074074074074066</v>
      </c>
      <c r="M175">
        <f t="shared" si="8"/>
        <v>11.875000000000002</v>
      </c>
      <c r="N175" s="3" t="s">
        <v>485</v>
      </c>
      <c r="O175" s="35">
        <v>1.5</v>
      </c>
    </row>
    <row r="176" spans="1:15" ht="15.75" x14ac:dyDescent="0.25">
      <c r="A176" s="10"/>
      <c r="B176" s="11" t="s">
        <v>410</v>
      </c>
      <c r="C176" s="11" t="s">
        <v>411</v>
      </c>
      <c r="D176" s="12">
        <v>0.47099999999999997</v>
      </c>
      <c r="E176" s="10"/>
      <c r="F176" s="35">
        <v>1.9</v>
      </c>
      <c r="G176" s="11" t="s">
        <v>16</v>
      </c>
      <c r="H176" s="18"/>
      <c r="I176" s="11" t="s">
        <v>231</v>
      </c>
      <c r="J176" s="40"/>
      <c r="K176" s="63">
        <f t="shared" si="11"/>
        <v>11.774999999999999</v>
      </c>
      <c r="L176">
        <f t="shared" si="10"/>
        <v>10.615711252653929</v>
      </c>
      <c r="M176">
        <f t="shared" si="8"/>
        <v>6.7749999999999995</v>
      </c>
      <c r="N176" s="3" t="s">
        <v>485</v>
      </c>
      <c r="O176" s="35">
        <v>1.9</v>
      </c>
    </row>
    <row r="177" spans="1:15" ht="15.75" x14ac:dyDescent="0.25">
      <c r="A177" s="10"/>
      <c r="B177" s="11" t="s">
        <v>412</v>
      </c>
      <c r="C177" s="11" t="s">
        <v>413</v>
      </c>
      <c r="D177" s="12">
        <v>0.88119999999999998</v>
      </c>
      <c r="E177" s="10"/>
      <c r="F177" s="31">
        <v>2</v>
      </c>
      <c r="G177" s="11" t="s">
        <v>16</v>
      </c>
      <c r="H177" s="18"/>
      <c r="I177" s="11" t="s">
        <v>231</v>
      </c>
      <c r="J177" s="40"/>
      <c r="K177" s="63">
        <f t="shared" si="11"/>
        <v>22.03</v>
      </c>
      <c r="L177">
        <f t="shared" si="10"/>
        <v>5.6740807989105768</v>
      </c>
      <c r="M177">
        <f t="shared" si="8"/>
        <v>17.03</v>
      </c>
      <c r="N177" s="3" t="s">
        <v>485</v>
      </c>
      <c r="O177" s="31">
        <v>2</v>
      </c>
    </row>
    <row r="178" spans="1:15" ht="15.75" x14ac:dyDescent="0.25">
      <c r="A178" s="30"/>
      <c r="B178" s="11" t="s">
        <v>417</v>
      </c>
      <c r="C178" s="11" t="s">
        <v>418</v>
      </c>
      <c r="D178" s="12">
        <v>1.1100000000000001</v>
      </c>
      <c r="E178" s="11">
        <v>27.75</v>
      </c>
      <c r="F178" s="31">
        <v>2</v>
      </c>
      <c r="G178" s="11" t="s">
        <v>16</v>
      </c>
      <c r="H178" s="18"/>
      <c r="I178" s="11" t="s">
        <v>231</v>
      </c>
      <c r="J178" s="13"/>
      <c r="K178" s="63">
        <f t="shared" si="11"/>
        <v>27.750000000000004</v>
      </c>
      <c r="L178">
        <f t="shared" si="10"/>
        <v>4.5045045045045038</v>
      </c>
      <c r="M178">
        <f t="shared" si="8"/>
        <v>22.750000000000004</v>
      </c>
      <c r="N178" s="3" t="s">
        <v>485</v>
      </c>
      <c r="O178" s="31">
        <v>2</v>
      </c>
    </row>
    <row r="179" spans="1:15" ht="15.75" x14ac:dyDescent="0.25">
      <c r="A179" s="48"/>
      <c r="B179" s="11" t="s">
        <v>419</v>
      </c>
      <c r="C179" s="13" t="s">
        <v>420</v>
      </c>
      <c r="D179" s="12">
        <v>0.47299999999999998</v>
      </c>
      <c r="E179" s="11">
        <v>11.824999999999999</v>
      </c>
      <c r="F179" s="35">
        <v>1.8</v>
      </c>
      <c r="G179" s="11" t="s">
        <v>16</v>
      </c>
      <c r="H179" s="18"/>
      <c r="I179" s="11" t="s">
        <v>231</v>
      </c>
      <c r="J179" s="13"/>
      <c r="K179" s="63">
        <f t="shared" si="11"/>
        <v>11.824999999999999</v>
      </c>
      <c r="L179">
        <f t="shared" si="10"/>
        <v>10.570824524312897</v>
      </c>
      <c r="M179">
        <f t="shared" si="8"/>
        <v>6.8249999999999993</v>
      </c>
      <c r="N179" s="3" t="s">
        <v>485</v>
      </c>
      <c r="O179" s="35">
        <v>1.8</v>
      </c>
    </row>
    <row r="180" spans="1:15" ht="15.75" x14ac:dyDescent="0.25">
      <c r="A180" s="48"/>
      <c r="B180" s="11" t="s">
        <v>422</v>
      </c>
      <c r="C180" s="13" t="s">
        <v>423</v>
      </c>
      <c r="D180" s="12">
        <v>1.49</v>
      </c>
      <c r="E180" s="10"/>
      <c r="F180" s="35">
        <v>1.8</v>
      </c>
      <c r="G180" s="11" t="s">
        <v>16</v>
      </c>
      <c r="H180" s="16"/>
      <c r="I180" s="11" t="s">
        <v>231</v>
      </c>
      <c r="J180" s="40"/>
      <c r="K180" s="63">
        <f t="shared" si="11"/>
        <v>37.25</v>
      </c>
      <c r="L180">
        <f t="shared" si="10"/>
        <v>3.3557046979865772</v>
      </c>
      <c r="M180">
        <f t="shared" si="8"/>
        <v>32.25</v>
      </c>
      <c r="N180" s="3" t="s">
        <v>485</v>
      </c>
      <c r="O180" s="35">
        <v>1.8</v>
      </c>
    </row>
    <row r="181" spans="1:15" ht="15.75" x14ac:dyDescent="0.25">
      <c r="A181" s="48"/>
      <c r="B181" s="11" t="s">
        <v>424</v>
      </c>
      <c r="C181" s="13" t="s">
        <v>425</v>
      </c>
      <c r="D181" s="12">
        <v>0.95399999999999996</v>
      </c>
      <c r="E181" s="10"/>
      <c r="F181" s="35">
        <v>1.7</v>
      </c>
      <c r="G181" s="11" t="s">
        <v>16</v>
      </c>
      <c r="H181" s="16"/>
      <c r="I181" s="11" t="s">
        <v>231</v>
      </c>
      <c r="J181" s="40"/>
      <c r="K181" s="63">
        <f t="shared" si="11"/>
        <v>23.849999999999998</v>
      </c>
      <c r="L181">
        <f t="shared" si="10"/>
        <v>5.2410901467505244</v>
      </c>
      <c r="M181">
        <f t="shared" si="8"/>
        <v>18.850000000000001</v>
      </c>
      <c r="N181" s="3" t="s">
        <v>485</v>
      </c>
      <c r="O181" s="35">
        <v>1.7</v>
      </c>
    </row>
    <row r="182" spans="1:15" ht="15.75" x14ac:dyDescent="0.25">
      <c r="A182" s="48"/>
      <c r="B182" s="11" t="s">
        <v>426</v>
      </c>
      <c r="C182" s="13" t="s">
        <v>427</v>
      </c>
      <c r="D182" s="12">
        <v>0.36699999999999999</v>
      </c>
      <c r="E182" s="10"/>
      <c r="F182" s="35">
        <v>1.7</v>
      </c>
      <c r="G182" s="11" t="s">
        <v>16</v>
      </c>
      <c r="H182" s="16"/>
      <c r="I182" s="11" t="s">
        <v>231</v>
      </c>
      <c r="J182" s="40"/>
      <c r="K182" s="63">
        <f t="shared" si="11"/>
        <v>9.1750000000000007</v>
      </c>
      <c r="L182">
        <f t="shared" si="10"/>
        <v>13.623978201634877</v>
      </c>
      <c r="M182">
        <f t="shared" si="8"/>
        <v>4.1749999999999998</v>
      </c>
      <c r="N182" s="3" t="s">
        <v>485</v>
      </c>
      <c r="O182" s="35">
        <v>1.7</v>
      </c>
    </row>
    <row r="183" spans="1:15" ht="15.75" x14ac:dyDescent="0.25">
      <c r="A183" s="48"/>
      <c r="B183" s="11" t="s">
        <v>428</v>
      </c>
      <c r="C183" s="13" t="s">
        <v>429</v>
      </c>
      <c r="D183" s="12">
        <v>0.94799999999999995</v>
      </c>
      <c r="E183" s="10"/>
      <c r="F183" s="35">
        <v>1.9</v>
      </c>
      <c r="G183" s="11" t="s">
        <v>16</v>
      </c>
      <c r="H183" s="16"/>
      <c r="I183" s="11" t="s">
        <v>231</v>
      </c>
      <c r="J183" s="40"/>
      <c r="K183" s="63">
        <f t="shared" si="11"/>
        <v>23.7</v>
      </c>
      <c r="L183">
        <f t="shared" si="10"/>
        <v>5.2742616033755274</v>
      </c>
      <c r="M183">
        <f t="shared" si="8"/>
        <v>18.7</v>
      </c>
      <c r="N183" s="3" t="s">
        <v>485</v>
      </c>
      <c r="O183" s="35">
        <v>1.9</v>
      </c>
    </row>
    <row r="184" spans="1:15" ht="15.75" x14ac:dyDescent="0.25">
      <c r="A184" s="11"/>
      <c r="B184" s="11" t="s">
        <v>430</v>
      </c>
      <c r="C184" s="11" t="s">
        <v>431</v>
      </c>
      <c r="D184" s="12">
        <v>0.73899999999999999</v>
      </c>
      <c r="E184" s="10"/>
      <c r="F184" s="31">
        <v>2</v>
      </c>
      <c r="G184" s="11" t="s">
        <v>16</v>
      </c>
      <c r="H184" s="11" t="s">
        <v>244</v>
      </c>
      <c r="I184" s="11" t="s">
        <v>231</v>
      </c>
      <c r="J184" s="40"/>
      <c r="K184" s="63">
        <f t="shared" si="11"/>
        <v>18.475000000000001</v>
      </c>
      <c r="L184">
        <f t="shared" si="10"/>
        <v>6.7658998646820026</v>
      </c>
      <c r="M184">
        <f t="shared" si="8"/>
        <v>13.475000000000001</v>
      </c>
      <c r="N184" s="3" t="s">
        <v>485</v>
      </c>
      <c r="O184" s="31">
        <v>2</v>
      </c>
    </row>
    <row r="185" spans="1:15" ht="15.75" x14ac:dyDescent="0.25">
      <c r="A185" s="11"/>
      <c r="B185" s="11" t="s">
        <v>432</v>
      </c>
      <c r="C185" s="11" t="s">
        <v>433</v>
      </c>
      <c r="D185" s="12">
        <v>1.01</v>
      </c>
      <c r="E185" s="10"/>
      <c r="F185" s="31">
        <v>2</v>
      </c>
      <c r="G185" s="11" t="s">
        <v>16</v>
      </c>
      <c r="H185" s="11" t="s">
        <v>244</v>
      </c>
      <c r="I185" s="11" t="s">
        <v>231</v>
      </c>
      <c r="J185" s="40"/>
      <c r="K185" s="63">
        <f t="shared" si="11"/>
        <v>25.25</v>
      </c>
      <c r="L185">
        <f t="shared" si="10"/>
        <v>4.9504950495049505</v>
      </c>
      <c r="M185">
        <f t="shared" si="8"/>
        <v>20.25</v>
      </c>
      <c r="N185" s="3" t="s">
        <v>485</v>
      </c>
      <c r="O185" s="31">
        <v>2</v>
      </c>
    </row>
    <row r="186" spans="1:15" ht="15.75" x14ac:dyDescent="0.25">
      <c r="A186" s="11"/>
      <c r="B186" s="11" t="s">
        <v>434</v>
      </c>
      <c r="C186" s="11" t="s">
        <v>435</v>
      </c>
      <c r="D186" s="12">
        <v>1.27</v>
      </c>
      <c r="E186" s="11"/>
      <c r="F186" s="35">
        <v>1.9</v>
      </c>
      <c r="G186" s="11" t="s">
        <v>16</v>
      </c>
      <c r="H186" s="11" t="s">
        <v>244</v>
      </c>
      <c r="I186" s="26" t="s">
        <v>231</v>
      </c>
      <c r="J186" s="13"/>
      <c r="K186" s="63">
        <f t="shared" si="11"/>
        <v>31.75</v>
      </c>
      <c r="L186">
        <f t="shared" si="10"/>
        <v>3.9370078740157481</v>
      </c>
      <c r="M186">
        <f t="shared" si="8"/>
        <v>26.75</v>
      </c>
      <c r="N186" s="3" t="s">
        <v>485</v>
      </c>
      <c r="O186" s="35">
        <v>1.9</v>
      </c>
    </row>
    <row r="187" spans="1:15" ht="15.75" x14ac:dyDescent="0.25">
      <c r="A187" s="11"/>
      <c r="B187" s="11" t="s">
        <v>436</v>
      </c>
      <c r="C187" s="11" t="s">
        <v>437</v>
      </c>
      <c r="D187" s="12">
        <v>0.67500000000000004</v>
      </c>
      <c r="E187" s="11"/>
      <c r="F187" s="31">
        <v>2</v>
      </c>
      <c r="G187" s="11" t="s">
        <v>16</v>
      </c>
      <c r="H187" s="11" t="s">
        <v>244</v>
      </c>
      <c r="I187" s="26" t="s">
        <v>231</v>
      </c>
      <c r="J187" s="13"/>
      <c r="K187" s="63">
        <f t="shared" si="11"/>
        <v>16.875</v>
      </c>
      <c r="L187">
        <f t="shared" si="10"/>
        <v>7.4074074074074066</v>
      </c>
      <c r="M187">
        <f t="shared" si="8"/>
        <v>11.875000000000002</v>
      </c>
      <c r="N187" s="3" t="s">
        <v>485</v>
      </c>
      <c r="O187" s="31">
        <v>2</v>
      </c>
    </row>
    <row r="188" spans="1:15" ht="15.75" x14ac:dyDescent="0.25">
      <c r="A188" s="11"/>
      <c r="B188" s="11" t="s">
        <v>438</v>
      </c>
      <c r="C188" s="11" t="s">
        <v>439</v>
      </c>
      <c r="D188" s="12">
        <v>0.55100000000000005</v>
      </c>
      <c r="E188" s="11"/>
      <c r="F188" s="35">
        <v>1.5</v>
      </c>
      <c r="G188" s="11" t="s">
        <v>16</v>
      </c>
      <c r="H188" s="11" t="s">
        <v>244</v>
      </c>
      <c r="I188" s="11" t="s">
        <v>231</v>
      </c>
      <c r="J188" s="33"/>
      <c r="K188" s="63">
        <f t="shared" si="11"/>
        <v>13.775</v>
      </c>
      <c r="L188">
        <f t="shared" si="10"/>
        <v>9.0744101633393814</v>
      </c>
      <c r="M188">
        <f t="shared" si="8"/>
        <v>8.7750000000000021</v>
      </c>
      <c r="N188" s="3" t="s">
        <v>485</v>
      </c>
      <c r="O188" s="35">
        <v>1.5</v>
      </c>
    </row>
    <row r="189" spans="1:15" ht="15.75" x14ac:dyDescent="0.25">
      <c r="A189" s="49" t="s">
        <v>308</v>
      </c>
      <c r="B189" s="25" t="s">
        <v>440</v>
      </c>
      <c r="C189" s="11" t="s">
        <v>441</v>
      </c>
      <c r="D189" s="12">
        <v>6.4</v>
      </c>
      <c r="E189" s="10"/>
      <c r="F189" s="35">
        <v>1.9</v>
      </c>
      <c r="G189" s="11" t="s">
        <v>16</v>
      </c>
      <c r="H189" s="11" t="s">
        <v>244</v>
      </c>
      <c r="I189" s="11" t="s">
        <v>231</v>
      </c>
      <c r="J189" s="13"/>
      <c r="K189" s="63">
        <f t="shared" si="11"/>
        <v>160</v>
      </c>
      <c r="L189">
        <f t="shared" si="10"/>
        <v>0.78125</v>
      </c>
      <c r="M189">
        <f t="shared" si="8"/>
        <v>155</v>
      </c>
      <c r="N189" s="3" t="s">
        <v>485</v>
      </c>
      <c r="O189" s="35">
        <v>1.9</v>
      </c>
    </row>
    <row r="190" spans="1:15" ht="15.75" x14ac:dyDescent="0.25">
      <c r="A190" s="49"/>
      <c r="B190" s="25" t="s">
        <v>442</v>
      </c>
      <c r="C190" s="11" t="s">
        <v>443</v>
      </c>
      <c r="D190" s="12">
        <v>5.2</v>
      </c>
      <c r="E190" s="10"/>
      <c r="F190" s="31">
        <v>2</v>
      </c>
      <c r="G190" s="11" t="s">
        <v>16</v>
      </c>
      <c r="H190" s="11" t="s">
        <v>244</v>
      </c>
      <c r="I190" s="11" t="s">
        <v>231</v>
      </c>
      <c r="J190" s="13"/>
      <c r="K190" s="63">
        <f t="shared" si="11"/>
        <v>130</v>
      </c>
      <c r="L190">
        <f t="shared" si="10"/>
        <v>0.96153846153846145</v>
      </c>
      <c r="M190">
        <f t="shared" si="8"/>
        <v>125.00000000000001</v>
      </c>
      <c r="N190" s="3" t="s">
        <v>485</v>
      </c>
      <c r="O190" s="31">
        <v>2</v>
      </c>
    </row>
    <row r="191" spans="1:15" ht="15.75" x14ac:dyDescent="0.25">
      <c r="A191" s="10"/>
      <c r="B191" s="25" t="s">
        <v>444</v>
      </c>
      <c r="C191" s="13" t="s">
        <v>445</v>
      </c>
      <c r="D191" s="11">
        <v>0.27600000000000002</v>
      </c>
      <c r="E191" s="10"/>
      <c r="F191" s="35">
        <v>1.8</v>
      </c>
      <c r="G191" s="12" t="s">
        <v>16</v>
      </c>
      <c r="H191" s="20" t="s">
        <v>283</v>
      </c>
      <c r="I191" s="11" t="s">
        <v>231</v>
      </c>
      <c r="J191" s="40"/>
      <c r="K191" s="63">
        <f t="shared" si="11"/>
        <v>6.9</v>
      </c>
      <c r="L191">
        <f t="shared" si="10"/>
        <v>18</v>
      </c>
      <c r="M191">
        <f t="shared" ref="M191:M195" si="12">(25-L191)*D191</f>
        <v>1.9320000000000002</v>
      </c>
      <c r="N191" s="63" t="s">
        <v>481</v>
      </c>
      <c r="O191" s="35">
        <v>1.8</v>
      </c>
    </row>
    <row r="192" spans="1:15" ht="15.75" x14ac:dyDescent="0.25">
      <c r="A192" s="10"/>
      <c r="B192" s="25" t="s">
        <v>446</v>
      </c>
      <c r="C192" s="11" t="s">
        <v>447</v>
      </c>
      <c r="D192" s="20">
        <v>0.59599999999999997</v>
      </c>
      <c r="E192" s="19"/>
      <c r="F192" s="31">
        <v>2</v>
      </c>
      <c r="G192" s="12" t="s">
        <v>16</v>
      </c>
      <c r="H192" s="20" t="s">
        <v>283</v>
      </c>
      <c r="I192" s="11" t="s">
        <v>231</v>
      </c>
      <c r="J192" s="55"/>
      <c r="K192" s="63">
        <f t="shared" si="11"/>
        <v>14.899999999999999</v>
      </c>
      <c r="L192">
        <f t="shared" ref="L192:L195" si="13">IF(5/D192&gt;18,18,5/D192)</f>
        <v>8.3892617449664435</v>
      </c>
      <c r="M192">
        <f t="shared" si="12"/>
        <v>9.8999999999999986</v>
      </c>
      <c r="N192" s="3" t="s">
        <v>485</v>
      </c>
      <c r="O192" s="31">
        <v>2</v>
      </c>
    </row>
    <row r="193" spans="1:15" ht="15.75" x14ac:dyDescent="0.25">
      <c r="A193" s="10"/>
      <c r="B193" s="25" t="s">
        <v>448</v>
      </c>
      <c r="C193" s="11" t="s">
        <v>449</v>
      </c>
      <c r="D193" s="11">
        <v>0.24199999999999999</v>
      </c>
      <c r="E193" s="10"/>
      <c r="F193" s="35">
        <v>1.8</v>
      </c>
      <c r="G193" s="12" t="s">
        <v>16</v>
      </c>
      <c r="H193" s="11" t="s">
        <v>283</v>
      </c>
      <c r="I193" s="11" t="s">
        <v>231</v>
      </c>
      <c r="J193" s="13"/>
      <c r="K193" s="63">
        <f t="shared" si="11"/>
        <v>6.05</v>
      </c>
      <c r="L193">
        <f t="shared" si="13"/>
        <v>18</v>
      </c>
      <c r="M193">
        <f t="shared" si="12"/>
        <v>1.694</v>
      </c>
      <c r="N193" s="63" t="s">
        <v>481</v>
      </c>
      <c r="O193" s="35">
        <v>1.8</v>
      </c>
    </row>
    <row r="194" spans="1:15" ht="15.75" x14ac:dyDescent="0.25">
      <c r="A194" s="10"/>
      <c r="B194" s="11" t="s">
        <v>450</v>
      </c>
      <c r="C194" s="11" t="s">
        <v>451</v>
      </c>
      <c r="D194" s="11">
        <v>0.57299999999999995</v>
      </c>
      <c r="E194" s="10"/>
      <c r="F194" s="35">
        <v>1.7</v>
      </c>
      <c r="G194" s="12" t="s">
        <v>16</v>
      </c>
      <c r="H194" s="11" t="s">
        <v>244</v>
      </c>
      <c r="I194" s="11" t="s">
        <v>231</v>
      </c>
      <c r="J194" s="40"/>
      <c r="K194" s="63">
        <f t="shared" si="11"/>
        <v>14.324999999999999</v>
      </c>
      <c r="L194">
        <f t="shared" si="13"/>
        <v>8.7260034904013963</v>
      </c>
      <c r="M194">
        <f t="shared" si="12"/>
        <v>9.3249999999999993</v>
      </c>
      <c r="N194" s="3" t="s">
        <v>485</v>
      </c>
      <c r="O194" s="35">
        <v>1.7</v>
      </c>
    </row>
    <row r="195" spans="1:15" ht="15.75" x14ac:dyDescent="0.25">
      <c r="A195" s="10"/>
      <c r="B195" s="11" t="s">
        <v>452</v>
      </c>
      <c r="C195" s="11" t="s">
        <v>453</v>
      </c>
      <c r="D195" s="11">
        <v>0.753</v>
      </c>
      <c r="E195" s="10"/>
      <c r="F195" s="35">
        <v>1.8</v>
      </c>
      <c r="G195" s="12" t="s">
        <v>16</v>
      </c>
      <c r="H195" s="11" t="s">
        <v>244</v>
      </c>
      <c r="I195" s="11" t="s">
        <v>231</v>
      </c>
      <c r="J195" s="40"/>
      <c r="K195" s="63">
        <f t="shared" si="11"/>
        <v>18.824999999999999</v>
      </c>
      <c r="L195">
        <f t="shared" si="13"/>
        <v>6.6401062416998675</v>
      </c>
      <c r="M195">
        <f t="shared" si="12"/>
        <v>13.824999999999999</v>
      </c>
      <c r="N195" s="3" t="s">
        <v>485</v>
      </c>
      <c r="O195" s="35">
        <v>1.8</v>
      </c>
    </row>
  </sheetData>
  <autoFilter ref="A1:O195" xr:uid="{27E63DE1-C4C6-4AA3-B6A8-1931E3CE8F5B}"/>
  <conditionalFormatting sqref="C1:C1048576">
    <cfRule type="duplicateValues" dxfId="7" priority="3"/>
  </conditionalFormatting>
  <conditionalFormatting sqref="K2:K195">
    <cfRule type="cellIs" dxfId="6" priority="5" operator="lessThan">
      <formula>8.3</formula>
    </cfRule>
  </conditionalFormatting>
  <conditionalFormatting sqref="L1:M1 O1 K1:K1048576">
    <cfRule type="cellIs" dxfId="5" priority="4" operator="lessThan">
      <formula>7</formula>
    </cfRule>
  </conditionalFormatting>
  <conditionalFormatting sqref="M1:M1048576">
    <cfRule type="cellIs" dxfId="4" priority="1" operator="lessThan">
      <formula>3.3</formula>
    </cfRule>
  </conditionalFormatting>
  <conditionalFormatting sqref="M2:M195">
    <cfRule type="cellIs" dxfId="3" priority="2" operator="lessThan">
      <formula>2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AD5DC-E626-4A11-95CE-3A9072C4A12F}">
  <dimension ref="A1:I183"/>
  <sheetViews>
    <sheetView topLeftCell="A17" workbookViewId="0">
      <selection activeCell="L36" sqref="L36:M36"/>
    </sheetView>
  </sheetViews>
  <sheetFormatPr defaultRowHeight="15" x14ac:dyDescent="0.25"/>
  <cols>
    <col min="1" max="1" width="15" bestFit="1" customWidth="1"/>
    <col min="2" max="2" width="21.140625" bestFit="1" customWidth="1"/>
    <col min="3" max="3" width="13.5703125" bestFit="1" customWidth="1"/>
    <col min="8" max="8" width="9.28515625" bestFit="1" customWidth="1"/>
  </cols>
  <sheetData>
    <row r="1" spans="1:9" ht="30" x14ac:dyDescent="0.25">
      <c r="A1" s="7" t="s">
        <v>1</v>
      </c>
      <c r="B1" s="78" t="s">
        <v>484</v>
      </c>
      <c r="C1" t="s">
        <v>488</v>
      </c>
      <c r="D1" t="s">
        <v>489</v>
      </c>
      <c r="E1" t="s">
        <v>490</v>
      </c>
      <c r="H1" s="82" t="s">
        <v>1</v>
      </c>
      <c r="I1" s="82" t="s">
        <v>487</v>
      </c>
    </row>
    <row r="2" spans="1:9" ht="15.75" x14ac:dyDescent="0.25">
      <c r="A2" s="11" t="s">
        <v>19</v>
      </c>
      <c r="B2" s="31">
        <v>2</v>
      </c>
      <c r="C2">
        <f>VLOOKUP(A2,$H$2:$I$200,2,0)</f>
        <v>5.4</v>
      </c>
      <c r="D2">
        <f>C2-B2</f>
        <v>3.4000000000000004</v>
      </c>
      <c r="E2">
        <v>2</v>
      </c>
      <c r="H2" s="38" t="s">
        <v>85</v>
      </c>
      <c r="I2" s="38">
        <v>3</v>
      </c>
    </row>
    <row r="3" spans="1:9" ht="15.75" x14ac:dyDescent="0.25">
      <c r="A3" s="11" t="s">
        <v>21</v>
      </c>
      <c r="B3" s="31">
        <v>2</v>
      </c>
      <c r="C3">
        <f t="shared" ref="C3:C36" si="0">VLOOKUP(A3,$H$2:$I$200,2,0)</f>
        <v>4.2</v>
      </c>
      <c r="D3">
        <f t="shared" ref="D3:D36" si="1">C3-B3</f>
        <v>2.2000000000000002</v>
      </c>
      <c r="E3">
        <v>1.2</v>
      </c>
      <c r="H3" s="83" t="s">
        <v>91</v>
      </c>
      <c r="I3" s="83">
        <v>4.7</v>
      </c>
    </row>
    <row r="4" spans="1:9" ht="15.75" x14ac:dyDescent="0.25">
      <c r="A4" s="11" t="s">
        <v>31</v>
      </c>
      <c r="B4" s="31">
        <v>2</v>
      </c>
      <c r="C4">
        <f t="shared" si="0"/>
        <v>4</v>
      </c>
      <c r="D4">
        <f t="shared" si="1"/>
        <v>2</v>
      </c>
      <c r="E4">
        <v>1</v>
      </c>
      <c r="H4" s="38" t="s">
        <v>94</v>
      </c>
      <c r="I4" s="38">
        <v>4</v>
      </c>
    </row>
    <row r="5" spans="1:9" ht="15.75" x14ac:dyDescent="0.25">
      <c r="A5" s="11" t="s">
        <v>189</v>
      </c>
      <c r="B5" s="35">
        <v>1.7</v>
      </c>
      <c r="C5">
        <f t="shared" si="0"/>
        <v>4.7</v>
      </c>
      <c r="D5">
        <f t="shared" si="1"/>
        <v>3</v>
      </c>
      <c r="E5">
        <v>2</v>
      </c>
      <c r="H5" s="38" t="s">
        <v>96</v>
      </c>
      <c r="I5" s="38">
        <v>4.5</v>
      </c>
    </row>
    <row r="6" spans="1:9" ht="15.75" x14ac:dyDescent="0.25">
      <c r="A6" s="11" t="s">
        <v>50</v>
      </c>
      <c r="B6" s="31">
        <v>2</v>
      </c>
      <c r="C6">
        <f t="shared" si="0"/>
        <v>4.5999999999999996</v>
      </c>
      <c r="D6">
        <f t="shared" si="1"/>
        <v>2.5999999999999996</v>
      </c>
      <c r="E6">
        <v>1.6</v>
      </c>
      <c r="H6" s="38" t="s">
        <v>98</v>
      </c>
      <c r="I6" s="38">
        <v>4.7</v>
      </c>
    </row>
    <row r="7" spans="1:9" ht="15.75" x14ac:dyDescent="0.25">
      <c r="A7" s="11" t="s">
        <v>52</v>
      </c>
      <c r="B7" s="31">
        <v>2</v>
      </c>
      <c r="C7">
        <f t="shared" si="0"/>
        <v>4.9000000000000004</v>
      </c>
      <c r="D7">
        <f t="shared" si="1"/>
        <v>2.9000000000000004</v>
      </c>
      <c r="E7">
        <v>1.9</v>
      </c>
      <c r="H7" s="83" t="s">
        <v>100</v>
      </c>
      <c r="I7" s="83">
        <v>4.9000000000000004</v>
      </c>
    </row>
    <row r="8" spans="1:9" ht="15.75" x14ac:dyDescent="0.25">
      <c r="A8" s="11" t="s">
        <v>56</v>
      </c>
      <c r="B8" s="41">
        <v>2</v>
      </c>
      <c r="C8">
        <f t="shared" si="0"/>
        <v>4.2</v>
      </c>
      <c r="D8">
        <f t="shared" si="1"/>
        <v>2.2000000000000002</v>
      </c>
      <c r="E8">
        <v>1.2</v>
      </c>
      <c r="H8" s="38" t="s">
        <v>102</v>
      </c>
      <c r="I8" s="38">
        <v>3.9</v>
      </c>
    </row>
    <row r="9" spans="1:9" ht="15.75" x14ac:dyDescent="0.25">
      <c r="A9" s="11" t="s">
        <v>67</v>
      </c>
      <c r="B9" s="31">
        <v>2</v>
      </c>
      <c r="C9">
        <f t="shared" si="0"/>
        <v>4.8</v>
      </c>
      <c r="D9">
        <f t="shared" si="1"/>
        <v>2.8</v>
      </c>
      <c r="E9">
        <v>1.8</v>
      </c>
      <c r="H9" s="38" t="s">
        <v>103</v>
      </c>
      <c r="I9" s="38">
        <v>4.4000000000000004</v>
      </c>
    </row>
    <row r="10" spans="1:9" ht="15.75" x14ac:dyDescent="0.25">
      <c r="A10" s="26" t="s">
        <v>69</v>
      </c>
      <c r="B10" s="36">
        <v>1.5</v>
      </c>
      <c r="C10">
        <f t="shared" si="0"/>
        <v>3.5</v>
      </c>
      <c r="D10">
        <f t="shared" si="1"/>
        <v>2</v>
      </c>
      <c r="E10">
        <v>1</v>
      </c>
      <c r="H10" s="38" t="s">
        <v>104</v>
      </c>
      <c r="I10" s="38">
        <v>5.3</v>
      </c>
    </row>
    <row r="11" spans="1:9" ht="15.75" x14ac:dyDescent="0.25">
      <c r="A11" s="13" t="s">
        <v>75</v>
      </c>
      <c r="B11" s="35">
        <v>1.6</v>
      </c>
      <c r="C11">
        <f t="shared" si="0"/>
        <v>3.6</v>
      </c>
      <c r="D11">
        <f t="shared" si="1"/>
        <v>2</v>
      </c>
      <c r="E11">
        <v>1</v>
      </c>
      <c r="H11" s="38" t="s">
        <v>105</v>
      </c>
      <c r="I11" s="38">
        <v>4.3</v>
      </c>
    </row>
    <row r="12" spans="1:9" ht="15.75" x14ac:dyDescent="0.25">
      <c r="A12" s="45" t="s">
        <v>79</v>
      </c>
      <c r="B12" s="35">
        <v>1.8</v>
      </c>
      <c r="C12">
        <f t="shared" si="0"/>
        <v>4.8</v>
      </c>
      <c r="D12">
        <f t="shared" si="1"/>
        <v>3</v>
      </c>
      <c r="E12">
        <v>2</v>
      </c>
      <c r="H12" s="38" t="s">
        <v>106</v>
      </c>
      <c r="I12" s="38">
        <v>4.2</v>
      </c>
    </row>
    <row r="13" spans="1:9" ht="15.75" x14ac:dyDescent="0.25">
      <c r="A13" s="13" t="s">
        <v>85</v>
      </c>
      <c r="B13" s="11">
        <v>1</v>
      </c>
      <c r="C13">
        <f t="shared" si="0"/>
        <v>3</v>
      </c>
      <c r="D13">
        <f t="shared" si="1"/>
        <v>2</v>
      </c>
      <c r="E13">
        <v>1</v>
      </c>
      <c r="H13" s="38" t="s">
        <v>173</v>
      </c>
      <c r="I13" s="38">
        <v>3.9</v>
      </c>
    </row>
    <row r="14" spans="1:9" ht="15.75" x14ac:dyDescent="0.25">
      <c r="A14" s="13" t="s">
        <v>94</v>
      </c>
      <c r="B14" s="11">
        <v>1</v>
      </c>
      <c r="C14">
        <f t="shared" si="0"/>
        <v>4</v>
      </c>
      <c r="D14">
        <f t="shared" si="1"/>
        <v>3</v>
      </c>
      <c r="E14">
        <v>2</v>
      </c>
      <c r="H14" s="38" t="s">
        <v>108</v>
      </c>
      <c r="I14" s="38">
        <v>4.8</v>
      </c>
    </row>
    <row r="15" spans="1:9" ht="15.75" x14ac:dyDescent="0.25">
      <c r="A15" s="15" t="s">
        <v>96</v>
      </c>
      <c r="B15" s="11">
        <v>1</v>
      </c>
      <c r="C15">
        <f t="shared" si="0"/>
        <v>4.5</v>
      </c>
      <c r="D15">
        <f t="shared" si="1"/>
        <v>3.5</v>
      </c>
      <c r="E15">
        <v>2</v>
      </c>
      <c r="H15" s="83" t="s">
        <v>109</v>
      </c>
      <c r="I15" s="83">
        <v>5.5</v>
      </c>
    </row>
    <row r="16" spans="1:9" ht="15.75" x14ac:dyDescent="0.25">
      <c r="A16" s="13" t="s">
        <v>98</v>
      </c>
      <c r="B16" s="11">
        <v>1</v>
      </c>
      <c r="C16">
        <f t="shared" si="0"/>
        <v>4.7</v>
      </c>
      <c r="D16">
        <f t="shared" si="1"/>
        <v>3.7</v>
      </c>
      <c r="E16">
        <v>2</v>
      </c>
      <c r="H16" s="38" t="s">
        <v>110</v>
      </c>
      <c r="I16" s="38">
        <v>4.7</v>
      </c>
    </row>
    <row r="17" spans="1:9" ht="15.75" x14ac:dyDescent="0.25">
      <c r="A17" s="13" t="s">
        <v>100</v>
      </c>
      <c r="B17" s="11">
        <v>1</v>
      </c>
      <c r="C17">
        <f t="shared" si="0"/>
        <v>4.9000000000000004</v>
      </c>
      <c r="D17">
        <f t="shared" si="1"/>
        <v>3.9000000000000004</v>
      </c>
      <c r="E17">
        <v>2</v>
      </c>
      <c r="H17" s="38" t="s">
        <v>112</v>
      </c>
      <c r="I17" s="38">
        <v>4</v>
      </c>
    </row>
    <row r="18" spans="1:9" ht="15.75" x14ac:dyDescent="0.25">
      <c r="A18" s="13" t="s">
        <v>102</v>
      </c>
      <c r="B18" s="11">
        <v>1</v>
      </c>
      <c r="C18">
        <f t="shared" si="0"/>
        <v>3.9</v>
      </c>
      <c r="D18">
        <f t="shared" si="1"/>
        <v>2.9</v>
      </c>
      <c r="E18">
        <v>1.9</v>
      </c>
      <c r="H18" s="83" t="s">
        <v>113</v>
      </c>
      <c r="I18" s="83">
        <v>5.5</v>
      </c>
    </row>
    <row r="19" spans="1:9" ht="15.75" x14ac:dyDescent="0.25">
      <c r="A19" s="13" t="s">
        <v>103</v>
      </c>
      <c r="B19" s="11">
        <v>1</v>
      </c>
      <c r="C19">
        <f t="shared" si="0"/>
        <v>4.4000000000000004</v>
      </c>
      <c r="D19">
        <f t="shared" si="1"/>
        <v>3.4000000000000004</v>
      </c>
      <c r="E19">
        <v>2</v>
      </c>
      <c r="H19" s="38" t="s">
        <v>115</v>
      </c>
      <c r="I19" s="38">
        <v>4</v>
      </c>
    </row>
    <row r="20" spans="1:9" ht="15.75" x14ac:dyDescent="0.25">
      <c r="A20" s="13" t="s">
        <v>104</v>
      </c>
      <c r="B20" s="11">
        <v>1</v>
      </c>
      <c r="C20">
        <f t="shared" si="0"/>
        <v>5.3</v>
      </c>
      <c r="D20">
        <f t="shared" si="1"/>
        <v>4.3</v>
      </c>
      <c r="E20">
        <v>2</v>
      </c>
      <c r="H20" s="38" t="s">
        <v>116</v>
      </c>
      <c r="I20" s="38">
        <v>4.5</v>
      </c>
    </row>
    <row r="21" spans="1:9" ht="15.75" x14ac:dyDescent="0.25">
      <c r="A21" s="13" t="s">
        <v>105</v>
      </c>
      <c r="B21" s="11">
        <v>1</v>
      </c>
      <c r="C21">
        <f t="shared" si="0"/>
        <v>4.3</v>
      </c>
      <c r="D21">
        <f t="shared" si="1"/>
        <v>3.3</v>
      </c>
      <c r="E21">
        <v>2</v>
      </c>
      <c r="H21" s="83" t="s">
        <v>118</v>
      </c>
      <c r="I21" s="83">
        <v>5.6</v>
      </c>
    </row>
    <row r="22" spans="1:9" ht="15.75" x14ac:dyDescent="0.25">
      <c r="A22" s="13" t="s">
        <v>106</v>
      </c>
      <c r="B22" s="11">
        <v>1</v>
      </c>
      <c r="C22">
        <f t="shared" si="0"/>
        <v>4.2</v>
      </c>
      <c r="D22">
        <f t="shared" si="1"/>
        <v>3.2</v>
      </c>
      <c r="E22">
        <v>2</v>
      </c>
      <c r="H22" s="38" t="s">
        <v>120</v>
      </c>
      <c r="I22" s="38">
        <v>4</v>
      </c>
    </row>
    <row r="23" spans="1:9" ht="15.75" x14ac:dyDescent="0.25">
      <c r="A23" s="13" t="s">
        <v>173</v>
      </c>
      <c r="B23" s="11">
        <v>1</v>
      </c>
      <c r="C23">
        <f t="shared" si="0"/>
        <v>3.9</v>
      </c>
      <c r="D23">
        <f t="shared" si="1"/>
        <v>2.9</v>
      </c>
      <c r="E23">
        <v>1.9</v>
      </c>
      <c r="H23" s="38" t="s">
        <v>121</v>
      </c>
      <c r="I23" s="38">
        <v>4.5</v>
      </c>
    </row>
    <row r="24" spans="1:9" ht="15.75" x14ac:dyDescent="0.25">
      <c r="A24" s="15" t="s">
        <v>108</v>
      </c>
      <c r="B24" s="11">
        <v>1</v>
      </c>
      <c r="C24">
        <f t="shared" si="0"/>
        <v>4.8</v>
      </c>
      <c r="D24">
        <f t="shared" si="1"/>
        <v>3.8</v>
      </c>
      <c r="E24">
        <v>2</v>
      </c>
      <c r="H24" s="83" t="s">
        <v>123</v>
      </c>
      <c r="I24" s="83">
        <v>3.8</v>
      </c>
    </row>
    <row r="25" spans="1:9" ht="15.75" x14ac:dyDescent="0.25">
      <c r="A25" s="79" t="s">
        <v>109</v>
      </c>
      <c r="B25" s="18">
        <v>1</v>
      </c>
      <c r="C25">
        <f t="shared" si="0"/>
        <v>5.5</v>
      </c>
      <c r="D25">
        <f t="shared" si="1"/>
        <v>4.5</v>
      </c>
      <c r="E25">
        <v>2</v>
      </c>
      <c r="H25" s="38" t="s">
        <v>124</v>
      </c>
      <c r="I25" s="38">
        <v>3.3</v>
      </c>
    </row>
    <row r="26" spans="1:9" ht="15.75" x14ac:dyDescent="0.25">
      <c r="A26" s="79" t="s">
        <v>110</v>
      </c>
      <c r="B26" s="2">
        <v>2</v>
      </c>
      <c r="C26">
        <f t="shared" si="0"/>
        <v>4.7</v>
      </c>
      <c r="D26">
        <f t="shared" si="1"/>
        <v>2.7</v>
      </c>
      <c r="E26">
        <v>1.7</v>
      </c>
      <c r="H26" s="38" t="s">
        <v>125</v>
      </c>
      <c r="I26" s="38">
        <v>4.2</v>
      </c>
    </row>
    <row r="27" spans="1:9" ht="15.75" x14ac:dyDescent="0.25">
      <c r="A27" s="79" t="s">
        <v>112</v>
      </c>
      <c r="B27" s="2">
        <v>2</v>
      </c>
      <c r="C27">
        <f t="shared" si="0"/>
        <v>4</v>
      </c>
      <c r="D27">
        <f t="shared" si="1"/>
        <v>2</v>
      </c>
      <c r="E27">
        <v>1</v>
      </c>
      <c r="H27" s="38" t="s">
        <v>127</v>
      </c>
      <c r="I27" s="38">
        <v>2</v>
      </c>
    </row>
    <row r="28" spans="1:9" ht="15.75" x14ac:dyDescent="0.25">
      <c r="A28" s="79" t="s">
        <v>113</v>
      </c>
      <c r="B28" s="2">
        <v>2</v>
      </c>
      <c r="C28">
        <f t="shared" si="0"/>
        <v>5.5</v>
      </c>
      <c r="D28">
        <f t="shared" si="1"/>
        <v>3.5</v>
      </c>
      <c r="E28">
        <v>2</v>
      </c>
      <c r="H28" s="38" t="s">
        <v>128</v>
      </c>
      <c r="I28" s="38">
        <v>4.5999999999999996</v>
      </c>
    </row>
    <row r="29" spans="1:9" ht="15.75" x14ac:dyDescent="0.25">
      <c r="A29" s="79" t="s">
        <v>115</v>
      </c>
      <c r="B29" s="2">
        <v>2</v>
      </c>
      <c r="C29">
        <f t="shared" si="0"/>
        <v>4</v>
      </c>
      <c r="D29">
        <f t="shared" si="1"/>
        <v>2</v>
      </c>
      <c r="E29">
        <v>1</v>
      </c>
      <c r="H29" s="38" t="s">
        <v>130</v>
      </c>
      <c r="I29" s="38">
        <v>4</v>
      </c>
    </row>
    <row r="30" spans="1:9" ht="15.75" x14ac:dyDescent="0.25">
      <c r="A30" s="79" t="s">
        <v>116</v>
      </c>
      <c r="B30" s="2">
        <v>3</v>
      </c>
      <c r="C30">
        <f t="shared" si="0"/>
        <v>4.5</v>
      </c>
      <c r="D30">
        <f t="shared" si="1"/>
        <v>1.5</v>
      </c>
      <c r="E30">
        <v>1.5</v>
      </c>
      <c r="H30" s="38" t="s">
        <v>131</v>
      </c>
      <c r="I30" s="38">
        <v>3.7</v>
      </c>
    </row>
    <row r="31" spans="1:9" x14ac:dyDescent="0.25">
      <c r="A31" s="80" t="s">
        <v>118</v>
      </c>
      <c r="B31" s="2">
        <v>2</v>
      </c>
      <c r="C31">
        <f t="shared" si="0"/>
        <v>5.6</v>
      </c>
      <c r="D31">
        <f t="shared" si="1"/>
        <v>3.5999999999999996</v>
      </c>
      <c r="E31">
        <v>2</v>
      </c>
      <c r="H31" s="38" t="s">
        <v>133</v>
      </c>
      <c r="I31" s="38">
        <v>4</v>
      </c>
    </row>
    <row r="32" spans="1:9" x14ac:dyDescent="0.25">
      <c r="A32" s="80" t="s">
        <v>120</v>
      </c>
      <c r="B32" s="2">
        <v>2</v>
      </c>
      <c r="C32">
        <f t="shared" si="0"/>
        <v>4</v>
      </c>
      <c r="D32">
        <f t="shared" si="1"/>
        <v>2</v>
      </c>
      <c r="E32">
        <v>1</v>
      </c>
      <c r="H32" s="38" t="s">
        <v>136</v>
      </c>
      <c r="I32" s="38">
        <v>3.8</v>
      </c>
    </row>
    <row r="33" spans="1:9" x14ac:dyDescent="0.25">
      <c r="A33" s="81" t="s">
        <v>121</v>
      </c>
      <c r="B33" s="2">
        <v>2</v>
      </c>
      <c r="C33">
        <f t="shared" si="0"/>
        <v>4.5</v>
      </c>
      <c r="D33">
        <f t="shared" si="1"/>
        <v>2.5</v>
      </c>
      <c r="E33">
        <v>1.5</v>
      </c>
      <c r="H33" s="38" t="s">
        <v>137</v>
      </c>
      <c r="I33" s="38">
        <v>5.5</v>
      </c>
    </row>
    <row r="34" spans="1:9" x14ac:dyDescent="0.25">
      <c r="A34" s="81" t="s">
        <v>123</v>
      </c>
      <c r="B34" s="2">
        <v>2</v>
      </c>
      <c r="C34">
        <f t="shared" si="0"/>
        <v>3.8</v>
      </c>
      <c r="D34">
        <f t="shared" si="1"/>
        <v>1.7999999999999998</v>
      </c>
      <c r="E34">
        <v>1.8</v>
      </c>
      <c r="H34" s="38" t="s">
        <v>138</v>
      </c>
      <c r="I34" s="38">
        <v>4.8</v>
      </c>
    </row>
    <row r="35" spans="1:9" x14ac:dyDescent="0.25">
      <c r="A35" s="81" t="s">
        <v>124</v>
      </c>
      <c r="B35" s="2">
        <v>2</v>
      </c>
      <c r="C35">
        <f t="shared" si="0"/>
        <v>3.3</v>
      </c>
      <c r="D35">
        <f t="shared" si="1"/>
        <v>1.2999999999999998</v>
      </c>
      <c r="E35">
        <v>1.3</v>
      </c>
      <c r="H35" s="38" t="s">
        <v>139</v>
      </c>
      <c r="I35" s="38">
        <v>4</v>
      </c>
    </row>
    <row r="36" spans="1:9" ht="15.75" x14ac:dyDescent="0.25">
      <c r="A36" s="79" t="s">
        <v>125</v>
      </c>
      <c r="B36" s="2">
        <v>2</v>
      </c>
      <c r="C36">
        <f t="shared" si="0"/>
        <v>4.2</v>
      </c>
      <c r="D36">
        <f t="shared" si="1"/>
        <v>2.2000000000000002</v>
      </c>
      <c r="E36">
        <v>1.2</v>
      </c>
      <c r="H36" s="39" t="s">
        <v>140</v>
      </c>
      <c r="I36" s="39">
        <v>4.5</v>
      </c>
    </row>
    <row r="37" spans="1:9" x14ac:dyDescent="0.25">
      <c r="A37" s="81" t="s">
        <v>128</v>
      </c>
      <c r="B37" s="2">
        <v>2</v>
      </c>
      <c r="C37">
        <f t="shared" ref="C37:C47" si="2">VLOOKUP(A37,$H$2:$I$200,2,0)</f>
        <v>4.5999999999999996</v>
      </c>
      <c r="D37">
        <f t="shared" ref="D37:D47" si="3">C37-B37</f>
        <v>2.5999999999999996</v>
      </c>
      <c r="E37">
        <v>1.6</v>
      </c>
      <c r="H37" s="84" t="s">
        <v>141</v>
      </c>
      <c r="I37" s="84">
        <v>5.7</v>
      </c>
    </row>
    <row r="38" spans="1:9" x14ac:dyDescent="0.25">
      <c r="A38" s="81" t="s">
        <v>131</v>
      </c>
      <c r="B38" s="2">
        <v>2</v>
      </c>
      <c r="C38">
        <f t="shared" si="2"/>
        <v>3.7</v>
      </c>
      <c r="D38">
        <f t="shared" si="3"/>
        <v>1.7000000000000002</v>
      </c>
      <c r="E38">
        <v>1.7</v>
      </c>
      <c r="H38" s="85" t="s">
        <v>143</v>
      </c>
      <c r="I38" s="84">
        <v>4.5</v>
      </c>
    </row>
    <row r="39" spans="1:9" ht="15.75" x14ac:dyDescent="0.25">
      <c r="A39" s="79" t="s">
        <v>136</v>
      </c>
      <c r="B39" s="2">
        <v>2</v>
      </c>
      <c r="C39">
        <f t="shared" si="2"/>
        <v>3.8</v>
      </c>
      <c r="D39">
        <f t="shared" si="3"/>
        <v>1.7999999999999998</v>
      </c>
      <c r="E39">
        <v>1.8</v>
      </c>
      <c r="H39" s="86" t="s">
        <v>144</v>
      </c>
      <c r="I39" s="86">
        <v>4.8</v>
      </c>
    </row>
    <row r="40" spans="1:9" ht="15.75" x14ac:dyDescent="0.25">
      <c r="A40" s="79" t="s">
        <v>137</v>
      </c>
      <c r="B40" s="2">
        <v>2</v>
      </c>
      <c r="C40">
        <f t="shared" si="2"/>
        <v>5.5</v>
      </c>
      <c r="D40">
        <f t="shared" si="3"/>
        <v>3.5</v>
      </c>
      <c r="E40">
        <v>2</v>
      </c>
      <c r="H40" s="87" t="s">
        <v>145</v>
      </c>
      <c r="I40" s="87">
        <v>3.7</v>
      </c>
    </row>
    <row r="41" spans="1:9" ht="15.75" x14ac:dyDescent="0.25">
      <c r="A41" s="79" t="s">
        <v>138</v>
      </c>
      <c r="B41" s="2">
        <v>2</v>
      </c>
      <c r="C41">
        <f t="shared" si="2"/>
        <v>4.8</v>
      </c>
      <c r="D41">
        <f t="shared" si="3"/>
        <v>2.8</v>
      </c>
      <c r="E41">
        <v>1.8</v>
      </c>
      <c r="H41" s="84" t="s">
        <v>146</v>
      </c>
      <c r="I41" s="84">
        <v>5.5</v>
      </c>
    </row>
    <row r="42" spans="1:9" ht="15.75" x14ac:dyDescent="0.25">
      <c r="A42" s="79" t="s">
        <v>139</v>
      </c>
      <c r="B42" s="2">
        <v>2</v>
      </c>
      <c r="C42">
        <f t="shared" si="2"/>
        <v>4</v>
      </c>
      <c r="D42">
        <f t="shared" si="3"/>
        <v>2</v>
      </c>
      <c r="E42">
        <v>1</v>
      </c>
      <c r="H42" s="84" t="s">
        <v>147</v>
      </c>
      <c r="I42" s="84">
        <v>4.7</v>
      </c>
    </row>
    <row r="43" spans="1:9" ht="15.75" x14ac:dyDescent="0.25">
      <c r="A43" s="79" t="s">
        <v>140</v>
      </c>
      <c r="B43" s="41">
        <v>2</v>
      </c>
      <c r="C43">
        <f t="shared" si="2"/>
        <v>4.5</v>
      </c>
      <c r="D43">
        <f t="shared" si="3"/>
        <v>2.5</v>
      </c>
      <c r="E43">
        <v>1.5</v>
      </c>
      <c r="H43" s="86" t="s">
        <v>148</v>
      </c>
      <c r="I43" s="86">
        <v>5.6</v>
      </c>
    </row>
    <row r="44" spans="1:9" ht="15.75" x14ac:dyDescent="0.25">
      <c r="A44" s="20" t="s">
        <v>145</v>
      </c>
      <c r="B44" s="35">
        <v>1.7</v>
      </c>
      <c r="C44">
        <f t="shared" si="2"/>
        <v>3.7</v>
      </c>
      <c r="D44">
        <f t="shared" si="3"/>
        <v>2</v>
      </c>
      <c r="E44">
        <v>1</v>
      </c>
      <c r="H44" s="88" t="s">
        <v>149</v>
      </c>
      <c r="I44" s="88">
        <v>5</v>
      </c>
    </row>
    <row r="45" spans="1:9" ht="15.75" x14ac:dyDescent="0.25">
      <c r="A45" s="15" t="s">
        <v>156</v>
      </c>
      <c r="B45" s="31">
        <v>2</v>
      </c>
      <c r="C45">
        <f t="shared" si="2"/>
        <v>5</v>
      </c>
      <c r="D45">
        <f t="shared" si="3"/>
        <v>3</v>
      </c>
      <c r="E45">
        <v>2</v>
      </c>
      <c r="H45" s="89" t="s">
        <v>150</v>
      </c>
      <c r="I45" s="89">
        <v>5.2</v>
      </c>
    </row>
    <row r="46" spans="1:9" ht="15.75" x14ac:dyDescent="0.25">
      <c r="A46" s="13" t="s">
        <v>445</v>
      </c>
      <c r="B46" s="35">
        <v>1.8</v>
      </c>
      <c r="C46">
        <f t="shared" si="2"/>
        <v>4.8</v>
      </c>
      <c r="D46">
        <f t="shared" si="3"/>
        <v>3</v>
      </c>
      <c r="E46">
        <v>2</v>
      </c>
      <c r="H46" s="84" t="s">
        <v>174</v>
      </c>
      <c r="I46" s="84">
        <v>5.9</v>
      </c>
    </row>
    <row r="47" spans="1:9" ht="15.75" x14ac:dyDescent="0.25">
      <c r="A47" s="11" t="s">
        <v>449</v>
      </c>
      <c r="B47" s="35">
        <v>1.8</v>
      </c>
      <c r="C47">
        <f t="shared" si="2"/>
        <v>4.8</v>
      </c>
      <c r="D47">
        <f t="shared" si="3"/>
        <v>3</v>
      </c>
      <c r="E47">
        <v>2</v>
      </c>
      <c r="H47" s="86" t="s">
        <v>175</v>
      </c>
      <c r="I47" s="86">
        <v>4.8</v>
      </c>
    </row>
    <row r="48" spans="1:9" x14ac:dyDescent="0.25">
      <c r="H48" s="84" t="s">
        <v>151</v>
      </c>
      <c r="I48" s="84">
        <v>5.0999999999999996</v>
      </c>
    </row>
    <row r="49" spans="8:9" x14ac:dyDescent="0.25">
      <c r="H49" s="84" t="s">
        <v>152</v>
      </c>
      <c r="I49" s="86"/>
    </row>
    <row r="50" spans="8:9" x14ac:dyDescent="0.25">
      <c r="H50" s="90" t="s">
        <v>153</v>
      </c>
      <c r="I50" s="90">
        <v>4.7</v>
      </c>
    </row>
    <row r="51" spans="8:9" x14ac:dyDescent="0.25">
      <c r="H51" s="38" t="s">
        <v>154</v>
      </c>
      <c r="I51" s="38">
        <v>4</v>
      </c>
    </row>
    <row r="52" spans="8:9" x14ac:dyDescent="0.25">
      <c r="H52" s="84" t="s">
        <v>155</v>
      </c>
      <c r="I52" s="84">
        <v>4.4000000000000004</v>
      </c>
    </row>
    <row r="53" spans="8:9" x14ac:dyDescent="0.25">
      <c r="H53" s="84" t="s">
        <v>156</v>
      </c>
      <c r="I53" s="84">
        <v>5</v>
      </c>
    </row>
    <row r="54" spans="8:9" x14ac:dyDescent="0.25">
      <c r="H54" s="84" t="s">
        <v>157</v>
      </c>
      <c r="I54" s="84">
        <v>3.7</v>
      </c>
    </row>
    <row r="55" spans="8:9" x14ac:dyDescent="0.25">
      <c r="H55" s="84" t="s">
        <v>158</v>
      </c>
      <c r="I55" s="84">
        <v>5</v>
      </c>
    </row>
    <row r="56" spans="8:9" x14ac:dyDescent="0.25">
      <c r="H56" s="84" t="s">
        <v>159</v>
      </c>
      <c r="I56" s="84">
        <v>5.5</v>
      </c>
    </row>
    <row r="57" spans="8:9" x14ac:dyDescent="0.25">
      <c r="H57" s="38" t="s">
        <v>160</v>
      </c>
      <c r="I57" s="38">
        <v>4.5</v>
      </c>
    </row>
    <row r="58" spans="8:9" x14ac:dyDescent="0.25">
      <c r="H58" s="84" t="s">
        <v>161</v>
      </c>
      <c r="I58" s="86">
        <v>5</v>
      </c>
    </row>
    <row r="59" spans="8:9" x14ac:dyDescent="0.25">
      <c r="H59" s="84" t="s">
        <v>162</v>
      </c>
      <c r="I59" s="86">
        <v>5</v>
      </c>
    </row>
    <row r="60" spans="8:9" x14ac:dyDescent="0.25">
      <c r="H60" s="84" t="s">
        <v>163</v>
      </c>
      <c r="I60" s="84">
        <v>4.5</v>
      </c>
    </row>
    <row r="61" spans="8:9" x14ac:dyDescent="0.25">
      <c r="H61" s="84" t="s">
        <v>164</v>
      </c>
      <c r="I61" s="84">
        <v>5.6</v>
      </c>
    </row>
    <row r="62" spans="8:9" x14ac:dyDescent="0.25">
      <c r="H62" s="84" t="s">
        <v>165</v>
      </c>
      <c r="I62" s="86">
        <v>4.4000000000000004</v>
      </c>
    </row>
    <row r="63" spans="8:9" x14ac:dyDescent="0.25">
      <c r="H63" s="91" t="s">
        <v>166</v>
      </c>
      <c r="I63" s="84">
        <v>3.3</v>
      </c>
    </row>
    <row r="64" spans="8:9" x14ac:dyDescent="0.25">
      <c r="H64" s="91" t="s">
        <v>167</v>
      </c>
      <c r="I64" s="86">
        <v>4.4000000000000004</v>
      </c>
    </row>
    <row r="65" spans="8:9" x14ac:dyDescent="0.25">
      <c r="H65" s="91" t="s">
        <v>168</v>
      </c>
      <c r="I65" s="84">
        <v>4</v>
      </c>
    </row>
    <row r="66" spans="8:9" x14ac:dyDescent="0.25">
      <c r="H66" s="91" t="s">
        <v>169</v>
      </c>
      <c r="I66" s="93">
        <v>3.5</v>
      </c>
    </row>
    <row r="67" spans="8:9" x14ac:dyDescent="0.25">
      <c r="H67" s="91" t="s">
        <v>170</v>
      </c>
      <c r="I67" s="93">
        <v>5.4</v>
      </c>
    </row>
    <row r="68" spans="8:9" x14ac:dyDescent="0.25">
      <c r="H68" s="91" t="s">
        <v>171</v>
      </c>
      <c r="I68" s="93">
        <v>4.5</v>
      </c>
    </row>
    <row r="69" spans="8:9" x14ac:dyDescent="0.25">
      <c r="H69" s="92" t="s">
        <v>172</v>
      </c>
      <c r="I69" s="94">
        <v>4</v>
      </c>
    </row>
    <row r="70" spans="8:9" x14ac:dyDescent="0.25">
      <c r="H70" s="38" t="s">
        <v>176</v>
      </c>
      <c r="I70" s="38">
        <v>4.4000000000000004</v>
      </c>
    </row>
    <row r="71" spans="8:9" x14ac:dyDescent="0.25">
      <c r="H71" s="84" t="s">
        <v>177</v>
      </c>
      <c r="I71" s="84">
        <v>4.5</v>
      </c>
    </row>
    <row r="72" spans="8:9" x14ac:dyDescent="0.25">
      <c r="H72" s="39" t="s">
        <v>178</v>
      </c>
      <c r="I72" s="39">
        <v>5.2</v>
      </c>
    </row>
    <row r="73" spans="8:9" x14ac:dyDescent="0.25">
      <c r="H73" s="39" t="s">
        <v>179</v>
      </c>
      <c r="I73" s="38">
        <v>4.5</v>
      </c>
    </row>
    <row r="74" spans="8:9" x14ac:dyDescent="0.25">
      <c r="H74" s="86" t="s">
        <v>180</v>
      </c>
      <c r="I74" s="86">
        <v>6.4</v>
      </c>
    </row>
    <row r="75" spans="8:9" x14ac:dyDescent="0.25">
      <c r="H75" s="38" t="s">
        <v>181</v>
      </c>
      <c r="I75" s="39">
        <v>4.7</v>
      </c>
    </row>
    <row r="76" spans="8:9" x14ac:dyDescent="0.25">
      <c r="H76" s="60" t="s">
        <v>213</v>
      </c>
      <c r="I76" s="39">
        <v>4</v>
      </c>
    </row>
    <row r="77" spans="8:9" x14ac:dyDescent="0.25">
      <c r="H77" s="38" t="s">
        <v>399</v>
      </c>
      <c r="I77" s="39">
        <v>4.8</v>
      </c>
    </row>
    <row r="78" spans="8:9" x14ac:dyDescent="0.25">
      <c r="H78" s="58" t="s">
        <v>401</v>
      </c>
      <c r="I78" s="38">
        <v>3.8</v>
      </c>
    </row>
    <row r="79" spans="8:9" x14ac:dyDescent="0.25">
      <c r="H79" s="58" t="s">
        <v>403</v>
      </c>
      <c r="I79" s="38">
        <v>4.0999999999999996</v>
      </c>
    </row>
    <row r="80" spans="8:9" x14ac:dyDescent="0.25">
      <c r="H80" s="58" t="s">
        <v>405</v>
      </c>
      <c r="I80" s="38">
        <v>5.0999999999999996</v>
      </c>
    </row>
    <row r="81" spans="8:9" x14ac:dyDescent="0.25">
      <c r="H81" s="58" t="s">
        <v>407</v>
      </c>
      <c r="I81" s="38">
        <v>3.5</v>
      </c>
    </row>
    <row r="82" spans="8:9" x14ac:dyDescent="0.25">
      <c r="H82" s="58" t="s">
        <v>409</v>
      </c>
      <c r="I82" s="38">
        <v>3.5</v>
      </c>
    </row>
    <row r="83" spans="8:9" x14ac:dyDescent="0.25">
      <c r="H83" s="58" t="s">
        <v>411</v>
      </c>
      <c r="I83" s="38">
        <v>4.9000000000000004</v>
      </c>
    </row>
    <row r="84" spans="8:9" x14ac:dyDescent="0.25">
      <c r="H84" s="58" t="s">
        <v>413</v>
      </c>
      <c r="I84" s="38">
        <v>4.0999999999999996</v>
      </c>
    </row>
    <row r="85" spans="8:9" x14ac:dyDescent="0.25">
      <c r="H85" s="58" t="s">
        <v>418</v>
      </c>
      <c r="I85" s="38">
        <v>4.0999999999999996</v>
      </c>
    </row>
    <row r="86" spans="8:9" x14ac:dyDescent="0.25">
      <c r="H86" s="58" t="s">
        <v>420</v>
      </c>
      <c r="I86" s="38">
        <v>4.8</v>
      </c>
    </row>
    <row r="87" spans="8:9" x14ac:dyDescent="0.25">
      <c r="H87" s="58" t="s">
        <v>423</v>
      </c>
      <c r="I87" s="39">
        <v>4.8</v>
      </c>
    </row>
    <row r="88" spans="8:9" x14ac:dyDescent="0.25">
      <c r="H88" s="58" t="s">
        <v>425</v>
      </c>
      <c r="I88" s="38">
        <v>3.7</v>
      </c>
    </row>
    <row r="89" spans="8:9" x14ac:dyDescent="0.25">
      <c r="H89" s="58" t="s">
        <v>427</v>
      </c>
      <c r="I89" s="38">
        <v>4.7</v>
      </c>
    </row>
    <row r="90" spans="8:9" x14ac:dyDescent="0.25">
      <c r="H90" s="58" t="s">
        <v>429</v>
      </c>
      <c r="I90" s="38">
        <v>4.9000000000000004</v>
      </c>
    </row>
    <row r="91" spans="8:9" x14ac:dyDescent="0.25">
      <c r="H91" s="58" t="s">
        <v>431</v>
      </c>
      <c r="I91" s="38">
        <v>5</v>
      </c>
    </row>
    <row r="92" spans="8:9" x14ac:dyDescent="0.25">
      <c r="H92" s="60" t="s">
        <v>433</v>
      </c>
      <c r="I92" s="39">
        <v>4</v>
      </c>
    </row>
    <row r="93" spans="8:9" x14ac:dyDescent="0.25">
      <c r="H93" s="38" t="s">
        <v>435</v>
      </c>
      <c r="I93" s="38">
        <v>4.9000000000000004</v>
      </c>
    </row>
    <row r="94" spans="8:9" x14ac:dyDescent="0.25">
      <c r="H94" s="38" t="s">
        <v>437</v>
      </c>
      <c r="I94" s="39">
        <v>5.3</v>
      </c>
    </row>
    <row r="95" spans="8:9" x14ac:dyDescent="0.25">
      <c r="H95" s="60" t="s">
        <v>439</v>
      </c>
      <c r="I95" s="38">
        <v>4.5</v>
      </c>
    </row>
    <row r="96" spans="8:9" x14ac:dyDescent="0.25">
      <c r="H96" s="58" t="s">
        <v>441</v>
      </c>
      <c r="I96" s="38">
        <v>2.9</v>
      </c>
    </row>
    <row r="97" spans="8:9" x14ac:dyDescent="0.25">
      <c r="H97" s="58" t="s">
        <v>443</v>
      </c>
      <c r="I97" s="38">
        <v>3.4</v>
      </c>
    </row>
    <row r="98" spans="8:9" x14ac:dyDescent="0.25">
      <c r="H98" s="58" t="s">
        <v>445</v>
      </c>
      <c r="I98" s="38">
        <v>4.8</v>
      </c>
    </row>
    <row r="99" spans="8:9" x14ac:dyDescent="0.25">
      <c r="H99" s="58" t="s">
        <v>447</v>
      </c>
      <c r="I99" s="38">
        <v>4</v>
      </c>
    </row>
    <row r="100" spans="8:9" x14ac:dyDescent="0.25">
      <c r="H100" s="58" t="s">
        <v>475</v>
      </c>
      <c r="I100" s="38">
        <v>4</v>
      </c>
    </row>
    <row r="101" spans="8:9" x14ac:dyDescent="0.25">
      <c r="H101" s="58" t="s">
        <v>449</v>
      </c>
      <c r="I101" s="39">
        <v>4.8</v>
      </c>
    </row>
    <row r="102" spans="8:9" x14ac:dyDescent="0.25">
      <c r="H102" s="58" t="s">
        <v>477</v>
      </c>
      <c r="I102" s="38">
        <v>5.2</v>
      </c>
    </row>
    <row r="103" spans="8:9" x14ac:dyDescent="0.25">
      <c r="H103" s="58" t="s">
        <v>451</v>
      </c>
      <c r="I103" s="39">
        <v>4.7</v>
      </c>
    </row>
    <row r="104" spans="8:9" x14ac:dyDescent="0.25">
      <c r="H104" s="60" t="s">
        <v>453</v>
      </c>
      <c r="I104" s="38">
        <v>4.8</v>
      </c>
    </row>
    <row r="105" spans="8:9" x14ac:dyDescent="0.25">
      <c r="H105" s="58" t="s">
        <v>454</v>
      </c>
      <c r="I105" s="38">
        <v>3.9</v>
      </c>
    </row>
    <row r="106" spans="8:9" x14ac:dyDescent="0.25">
      <c r="H106" s="58" t="s">
        <v>455</v>
      </c>
      <c r="I106" s="38">
        <v>4.0999999999999996</v>
      </c>
    </row>
    <row r="107" spans="8:9" x14ac:dyDescent="0.25">
      <c r="H107" s="58" t="s">
        <v>486</v>
      </c>
      <c r="I107" s="38"/>
    </row>
    <row r="108" spans="8:9" x14ac:dyDescent="0.25">
      <c r="H108" s="38" t="s">
        <v>13</v>
      </c>
      <c r="I108" s="38">
        <v>4.5</v>
      </c>
    </row>
    <row r="109" spans="8:9" x14ac:dyDescent="0.25">
      <c r="H109" s="38" t="s">
        <v>19</v>
      </c>
      <c r="I109" s="38">
        <v>5.4</v>
      </c>
    </row>
    <row r="110" spans="8:9" x14ac:dyDescent="0.25">
      <c r="H110" s="38" t="s">
        <v>21</v>
      </c>
      <c r="I110" s="38">
        <v>4.2</v>
      </c>
    </row>
    <row r="111" spans="8:9" x14ac:dyDescent="0.25">
      <c r="H111" s="38" t="s">
        <v>23</v>
      </c>
      <c r="I111" s="38">
        <v>4.4000000000000004</v>
      </c>
    </row>
    <row r="112" spans="8:9" x14ac:dyDescent="0.25">
      <c r="H112" s="38" t="s">
        <v>25</v>
      </c>
      <c r="I112" s="38">
        <v>4.5</v>
      </c>
    </row>
    <row r="113" spans="8:9" x14ac:dyDescent="0.25">
      <c r="H113" s="38" t="s">
        <v>27</v>
      </c>
      <c r="I113" s="38">
        <v>3</v>
      </c>
    </row>
    <row r="114" spans="8:9" x14ac:dyDescent="0.25">
      <c r="H114" s="38" t="s">
        <v>28</v>
      </c>
      <c r="I114" s="38">
        <v>5</v>
      </c>
    </row>
    <row r="115" spans="8:9" x14ac:dyDescent="0.25">
      <c r="H115" s="38" t="s">
        <v>29</v>
      </c>
      <c r="I115" s="38">
        <v>4</v>
      </c>
    </row>
    <row r="116" spans="8:9" x14ac:dyDescent="0.25">
      <c r="H116" s="38" t="s">
        <v>30</v>
      </c>
      <c r="I116" s="38">
        <v>3.8</v>
      </c>
    </row>
    <row r="117" spans="8:9" x14ac:dyDescent="0.25">
      <c r="H117" s="38" t="s">
        <v>31</v>
      </c>
      <c r="I117" s="38">
        <v>4</v>
      </c>
    </row>
    <row r="118" spans="8:9" x14ac:dyDescent="0.25">
      <c r="H118" s="38" t="s">
        <v>32</v>
      </c>
      <c r="I118" s="38">
        <v>3.8</v>
      </c>
    </row>
    <row r="119" spans="8:9" x14ac:dyDescent="0.25">
      <c r="H119" s="38" t="s">
        <v>33</v>
      </c>
      <c r="I119" s="38">
        <v>4.5</v>
      </c>
    </row>
    <row r="120" spans="8:9" x14ac:dyDescent="0.25">
      <c r="H120" s="38" t="s">
        <v>34</v>
      </c>
      <c r="I120" s="38">
        <v>5</v>
      </c>
    </row>
    <row r="121" spans="8:9" x14ac:dyDescent="0.25">
      <c r="H121" s="38" t="s">
        <v>35</v>
      </c>
      <c r="I121" s="38">
        <v>5</v>
      </c>
    </row>
    <row r="122" spans="8:9" x14ac:dyDescent="0.25">
      <c r="H122" s="38" t="s">
        <v>36</v>
      </c>
      <c r="I122" s="38">
        <v>4</v>
      </c>
    </row>
    <row r="123" spans="8:9" x14ac:dyDescent="0.25">
      <c r="H123" s="38" t="s">
        <v>37</v>
      </c>
      <c r="I123" s="38">
        <v>4.8</v>
      </c>
    </row>
    <row r="124" spans="8:9" x14ac:dyDescent="0.25">
      <c r="H124" s="38" t="s">
        <v>38</v>
      </c>
      <c r="I124" s="38">
        <v>4.7</v>
      </c>
    </row>
    <row r="125" spans="8:9" x14ac:dyDescent="0.25">
      <c r="H125" s="38" t="s">
        <v>40</v>
      </c>
      <c r="I125" s="38">
        <v>4.7</v>
      </c>
    </row>
    <row r="126" spans="8:9" x14ac:dyDescent="0.25">
      <c r="H126" s="38" t="s">
        <v>182</v>
      </c>
      <c r="I126" s="38">
        <v>3</v>
      </c>
    </row>
    <row r="127" spans="8:9" x14ac:dyDescent="0.25">
      <c r="H127" s="38" t="s">
        <v>183</v>
      </c>
      <c r="I127" s="38">
        <v>3.9</v>
      </c>
    </row>
    <row r="128" spans="8:9" x14ac:dyDescent="0.25">
      <c r="H128" s="38" t="s">
        <v>184</v>
      </c>
      <c r="I128" s="38">
        <v>4.9000000000000004</v>
      </c>
    </row>
    <row r="129" spans="8:9" x14ac:dyDescent="0.25">
      <c r="H129" s="38" t="s">
        <v>185</v>
      </c>
      <c r="I129" s="38">
        <v>4.2</v>
      </c>
    </row>
    <row r="130" spans="8:9" x14ac:dyDescent="0.25">
      <c r="H130" s="39" t="s">
        <v>186</v>
      </c>
      <c r="I130" s="39">
        <v>4.2</v>
      </c>
    </row>
    <row r="131" spans="8:9" x14ac:dyDescent="0.25">
      <c r="H131" s="39" t="s">
        <v>41</v>
      </c>
      <c r="I131" s="39">
        <v>4.2</v>
      </c>
    </row>
    <row r="132" spans="8:9" x14ac:dyDescent="0.25">
      <c r="H132" s="95" t="s">
        <v>43</v>
      </c>
      <c r="I132" s="95">
        <v>3.9</v>
      </c>
    </row>
    <row r="133" spans="8:9" x14ac:dyDescent="0.25">
      <c r="H133" s="96" t="s">
        <v>44</v>
      </c>
      <c r="I133" s="96">
        <v>2.5</v>
      </c>
    </row>
    <row r="134" spans="8:9" x14ac:dyDescent="0.25">
      <c r="H134" s="96" t="s">
        <v>45</v>
      </c>
      <c r="I134" s="96">
        <v>4</v>
      </c>
    </row>
    <row r="135" spans="8:9" x14ac:dyDescent="0.25">
      <c r="H135" s="96" t="s">
        <v>46</v>
      </c>
      <c r="I135" s="96">
        <v>4.5</v>
      </c>
    </row>
    <row r="136" spans="8:9" x14ac:dyDescent="0.25">
      <c r="H136" s="96" t="s">
        <v>47</v>
      </c>
      <c r="I136" s="96">
        <v>4.5</v>
      </c>
    </row>
    <row r="137" spans="8:9" x14ac:dyDescent="0.25">
      <c r="H137" s="97" t="s">
        <v>48</v>
      </c>
      <c r="I137" s="97">
        <v>4.7</v>
      </c>
    </row>
    <row r="138" spans="8:9" x14ac:dyDescent="0.25">
      <c r="H138" s="84" t="s">
        <v>187</v>
      </c>
      <c r="I138" s="84">
        <v>5.8</v>
      </c>
    </row>
    <row r="139" spans="8:9" x14ac:dyDescent="0.25">
      <c r="H139" s="38" t="s">
        <v>188</v>
      </c>
      <c r="I139" s="38">
        <v>4.7</v>
      </c>
    </row>
    <row r="140" spans="8:9" x14ac:dyDescent="0.25">
      <c r="H140" s="38" t="s">
        <v>189</v>
      </c>
      <c r="I140" s="38">
        <v>4.7</v>
      </c>
    </row>
    <row r="141" spans="8:9" x14ac:dyDescent="0.25">
      <c r="H141" s="98" t="s">
        <v>190</v>
      </c>
      <c r="I141" s="98">
        <v>3.5</v>
      </c>
    </row>
    <row r="142" spans="8:9" x14ac:dyDescent="0.25">
      <c r="H142" s="38" t="s">
        <v>49</v>
      </c>
      <c r="I142" s="38">
        <v>5.8</v>
      </c>
    </row>
    <row r="143" spans="8:9" x14ac:dyDescent="0.25">
      <c r="H143" s="38" t="s">
        <v>50</v>
      </c>
      <c r="I143" s="38">
        <v>4.5999999999999996</v>
      </c>
    </row>
    <row r="144" spans="8:9" x14ac:dyDescent="0.25">
      <c r="H144" s="38" t="s">
        <v>51</v>
      </c>
      <c r="I144" s="38">
        <v>4.2</v>
      </c>
    </row>
    <row r="145" spans="8:9" x14ac:dyDescent="0.25">
      <c r="H145" s="38" t="s">
        <v>52</v>
      </c>
      <c r="I145" s="38">
        <v>4.9000000000000004</v>
      </c>
    </row>
    <row r="146" spans="8:9" x14ac:dyDescent="0.25">
      <c r="H146" s="38" t="s">
        <v>53</v>
      </c>
      <c r="I146" s="38">
        <v>4.5</v>
      </c>
    </row>
    <row r="147" spans="8:9" x14ac:dyDescent="0.25">
      <c r="H147" s="39" t="s">
        <v>55</v>
      </c>
      <c r="I147" s="39">
        <v>4.5</v>
      </c>
    </row>
    <row r="148" spans="8:9" x14ac:dyDescent="0.25">
      <c r="H148" s="38" t="s">
        <v>56</v>
      </c>
      <c r="I148" s="38">
        <v>4.2</v>
      </c>
    </row>
    <row r="149" spans="8:9" x14ac:dyDescent="0.25">
      <c r="H149" s="38" t="s">
        <v>57</v>
      </c>
      <c r="I149" s="38">
        <v>3.8</v>
      </c>
    </row>
    <row r="150" spans="8:9" x14ac:dyDescent="0.25">
      <c r="H150" s="39" t="s">
        <v>58</v>
      </c>
      <c r="I150" s="39">
        <v>4</v>
      </c>
    </row>
    <row r="151" spans="8:9" x14ac:dyDescent="0.25">
      <c r="H151" s="38" t="s">
        <v>60</v>
      </c>
      <c r="I151" s="38">
        <v>4.0999999999999996</v>
      </c>
    </row>
    <row r="152" spans="8:9" x14ac:dyDescent="0.25">
      <c r="H152" s="38" t="s">
        <v>61</v>
      </c>
      <c r="I152" s="38">
        <v>4</v>
      </c>
    </row>
    <row r="153" spans="8:9" x14ac:dyDescent="0.25">
      <c r="H153" s="39" t="s">
        <v>62</v>
      </c>
      <c r="I153" s="101">
        <v>4.5</v>
      </c>
    </row>
    <row r="154" spans="8:9" x14ac:dyDescent="0.25">
      <c r="H154" s="38" t="s">
        <v>63</v>
      </c>
      <c r="I154" s="102">
        <v>3.9</v>
      </c>
    </row>
    <row r="155" spans="8:9" x14ac:dyDescent="0.25">
      <c r="H155" s="38" t="s">
        <v>64</v>
      </c>
      <c r="I155" s="102">
        <v>5.2</v>
      </c>
    </row>
    <row r="156" spans="8:9" x14ac:dyDescent="0.25">
      <c r="H156" s="38" t="s">
        <v>65</v>
      </c>
      <c r="I156" s="102">
        <v>4</v>
      </c>
    </row>
    <row r="157" spans="8:9" x14ac:dyDescent="0.25">
      <c r="H157" s="90" t="s">
        <v>66</v>
      </c>
      <c r="I157" s="103">
        <v>3.2</v>
      </c>
    </row>
    <row r="158" spans="8:9" x14ac:dyDescent="0.25">
      <c r="H158" s="38" t="s">
        <v>67</v>
      </c>
      <c r="I158" s="101">
        <v>4.8</v>
      </c>
    </row>
    <row r="159" spans="8:9" x14ac:dyDescent="0.25">
      <c r="H159" s="58" t="s">
        <v>69</v>
      </c>
      <c r="I159" s="102">
        <v>3.5</v>
      </c>
    </row>
    <row r="160" spans="8:9" x14ac:dyDescent="0.25">
      <c r="H160" s="58" t="s">
        <v>70</v>
      </c>
      <c r="I160" s="101">
        <v>4.3</v>
      </c>
    </row>
    <row r="161" spans="8:9" x14ac:dyDescent="0.25">
      <c r="H161" s="58" t="s">
        <v>71</v>
      </c>
      <c r="I161" s="38">
        <v>4.5999999999999996</v>
      </c>
    </row>
    <row r="162" spans="8:9" x14ac:dyDescent="0.25">
      <c r="H162" s="99" t="s">
        <v>72</v>
      </c>
      <c r="I162" s="90">
        <v>3.7</v>
      </c>
    </row>
    <row r="163" spans="8:9" x14ac:dyDescent="0.25">
      <c r="H163" s="58" t="s">
        <v>73</v>
      </c>
      <c r="I163" s="39">
        <v>4.7</v>
      </c>
    </row>
    <row r="164" spans="8:9" x14ac:dyDescent="0.25">
      <c r="H164" s="58" t="s">
        <v>74</v>
      </c>
      <c r="I164" s="38">
        <v>3.6</v>
      </c>
    </row>
    <row r="165" spans="8:9" x14ac:dyDescent="0.25">
      <c r="H165" s="58" t="s">
        <v>75</v>
      </c>
      <c r="I165" s="39">
        <v>3.6</v>
      </c>
    </row>
    <row r="166" spans="8:9" x14ac:dyDescent="0.25">
      <c r="H166" s="58" t="s">
        <v>76</v>
      </c>
      <c r="I166" s="38">
        <v>3.7</v>
      </c>
    </row>
    <row r="167" spans="8:9" x14ac:dyDescent="0.25">
      <c r="H167" s="91" t="s">
        <v>77</v>
      </c>
      <c r="I167" s="84">
        <v>4.3</v>
      </c>
    </row>
    <row r="168" spans="8:9" x14ac:dyDescent="0.25">
      <c r="H168" s="100" t="s">
        <v>356</v>
      </c>
      <c r="I168" s="104" t="s">
        <v>88</v>
      </c>
    </row>
    <row r="169" spans="8:9" x14ac:dyDescent="0.25">
      <c r="H169" s="38" t="s">
        <v>79</v>
      </c>
      <c r="I169" s="38">
        <v>4.8</v>
      </c>
    </row>
    <row r="170" spans="8:9" x14ac:dyDescent="0.25">
      <c r="H170" s="38" t="s">
        <v>80</v>
      </c>
      <c r="I170" s="39">
        <v>4.5</v>
      </c>
    </row>
    <row r="171" spans="8:9" x14ac:dyDescent="0.25">
      <c r="H171" s="38" t="s">
        <v>81</v>
      </c>
      <c r="I171" s="38">
        <v>4.4000000000000004</v>
      </c>
    </row>
    <row r="172" spans="8:9" x14ac:dyDescent="0.25">
      <c r="H172" s="38" t="s">
        <v>82</v>
      </c>
      <c r="I172" s="101">
        <v>4.5999999999999996</v>
      </c>
    </row>
    <row r="173" spans="8:9" x14ac:dyDescent="0.25">
      <c r="H173" s="38" t="s">
        <v>83</v>
      </c>
      <c r="I173" s="38">
        <v>3.8</v>
      </c>
    </row>
    <row r="174" spans="8:9" x14ac:dyDescent="0.25">
      <c r="H174" s="38" t="s">
        <v>84</v>
      </c>
      <c r="I174" s="39">
        <v>5.0999999999999996</v>
      </c>
    </row>
    <row r="175" spans="8:9" x14ac:dyDescent="0.25">
      <c r="H175" s="58" t="s">
        <v>191</v>
      </c>
      <c r="I175" s="38">
        <v>4.4000000000000004</v>
      </c>
    </row>
    <row r="176" spans="8:9" x14ac:dyDescent="0.25">
      <c r="H176" s="58" t="s">
        <v>192</v>
      </c>
      <c r="I176" s="38">
        <v>4.3</v>
      </c>
    </row>
    <row r="177" spans="8:9" x14ac:dyDescent="0.25">
      <c r="H177" s="58" t="s">
        <v>193</v>
      </c>
      <c r="I177" s="38">
        <v>4.5</v>
      </c>
    </row>
    <row r="178" spans="8:9" x14ac:dyDescent="0.25">
      <c r="H178" s="60" t="s">
        <v>194</v>
      </c>
      <c r="I178" s="38">
        <v>4.9000000000000004</v>
      </c>
    </row>
    <row r="179" spans="8:9" x14ac:dyDescent="0.25">
      <c r="H179" s="58" t="s">
        <v>214</v>
      </c>
      <c r="I179" s="38">
        <v>4.5</v>
      </c>
    </row>
    <row r="180" spans="8:9" x14ac:dyDescent="0.25">
      <c r="H180" s="58" t="s">
        <v>215</v>
      </c>
      <c r="I180" s="38">
        <v>3.8</v>
      </c>
    </row>
    <row r="181" spans="8:9" x14ac:dyDescent="0.25">
      <c r="H181" s="60" t="s">
        <v>216</v>
      </c>
      <c r="I181" s="39">
        <v>5</v>
      </c>
    </row>
    <row r="182" spans="8:9" x14ac:dyDescent="0.25">
      <c r="H182" s="38" t="s">
        <v>217</v>
      </c>
      <c r="I182" s="38">
        <v>4.7</v>
      </c>
    </row>
    <row r="183" spans="8:9" x14ac:dyDescent="0.25">
      <c r="H183" s="38" t="s">
        <v>218</v>
      </c>
      <c r="I183" s="38">
        <v>4.5</v>
      </c>
    </row>
  </sheetData>
  <conditionalFormatting sqref="A49:A1048429 A1:A47">
    <cfRule type="duplicateValues" dxfId="2" priority="39"/>
  </conditionalFormatting>
  <conditionalFormatting sqref="B1">
    <cfRule type="cellIs" dxfId="1" priority="2" operator="lessThan">
      <formula>7</formula>
    </cfRule>
  </conditionalFormatting>
  <conditionalFormatting sqref="D1:D47 D49:D1048576">
    <cfRule type="cellIs" dxfId="0" priority="1" operator="less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 DAC HO</dc:creator>
  <cp:lastModifiedBy>dung ha</cp:lastModifiedBy>
  <dcterms:created xsi:type="dcterms:W3CDTF">2015-06-05T18:17:20Z</dcterms:created>
  <dcterms:modified xsi:type="dcterms:W3CDTF">2026-03-04T11:13:39Z</dcterms:modified>
</cp:coreProperties>
</file>