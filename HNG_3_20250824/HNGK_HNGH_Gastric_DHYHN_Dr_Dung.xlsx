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genesolutionsvietnam.sharepoint.com/sites/RDTeam/Shared Documents/General/Sample Database/Team A.Sơn/Methylation/"/>
    </mc:Choice>
  </mc:AlternateContent>
  <xr:revisionPtr revIDLastSave="0" documentId="8_{F2F8FE72-20DB-4A51-A06F-D2101DB9D5F6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hông tin lâm sàng" sheetId="3" r:id="rId1"/>
    <sheet name="HNGK" sheetId="1" r:id="rId2"/>
    <sheet name="HNGH" sheetId="2" r:id="rId3"/>
    <sheet name="Trang_tính1" sheetId="4" r:id="rId4"/>
  </sheets>
  <definedNames>
    <definedName name="_xlnm._FilterDatabase" localSheetId="1" hidden="1">HNGK!$A$1:$T$72</definedName>
    <definedName name="_xlnm._FilterDatabase" localSheetId="2" hidden="1">HNGH!$A$1:$T$77</definedName>
    <definedName name="_xlnm._FilterDatabase" localSheetId="3" hidden="1">Trang_tính1!$A$1:$B$65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5" i="2" l="1"/>
  <c r="J117" i="2"/>
  <c r="J118" i="2"/>
  <c r="J119" i="2"/>
  <c r="J116" i="2"/>
  <c r="I174" i="1"/>
  <c r="I175" i="1"/>
  <c r="I176" i="1"/>
  <c r="I177" i="1"/>
  <c r="I154" i="1"/>
  <c r="I82" i="2"/>
  <c r="I81" i="2"/>
  <c r="I79" i="2"/>
  <c r="I78" i="2"/>
  <c r="I153" i="1"/>
  <c r="I151" i="1"/>
  <c r="I152" i="1"/>
  <c r="I147" i="1"/>
  <c r="I148" i="1"/>
  <c r="I149" i="1"/>
  <c r="I150" i="1"/>
  <c r="I146" i="1"/>
  <c r="I144" i="1"/>
  <c r="I145" i="1"/>
  <c r="I139" i="1"/>
  <c r="I140" i="1"/>
  <c r="I141" i="1"/>
  <c r="I142" i="1"/>
  <c r="I143" i="1"/>
  <c r="I137" i="1"/>
  <c r="I138" i="1"/>
  <c r="I132" i="1"/>
  <c r="I133" i="1"/>
  <c r="I134" i="1"/>
  <c r="I135" i="1"/>
  <c r="I136" i="1"/>
  <c r="I125" i="1"/>
  <c r="I126" i="1"/>
  <c r="I127" i="1"/>
  <c r="I128" i="1"/>
  <c r="I129" i="1"/>
  <c r="I130" i="1"/>
  <c r="I131" i="1"/>
  <c r="I122" i="1"/>
  <c r="I123" i="1"/>
  <c r="I124" i="1"/>
  <c r="I120" i="1"/>
  <c r="I121" i="1"/>
  <c r="I119" i="1"/>
  <c r="I117" i="1"/>
  <c r="I118" i="1"/>
  <c r="I116" i="1"/>
  <c r="I109" i="1"/>
  <c r="I110" i="1"/>
  <c r="I111" i="1"/>
  <c r="I112" i="1"/>
  <c r="I113" i="1"/>
  <c r="I114" i="1"/>
  <c r="I115" i="1"/>
  <c r="I108" i="1"/>
  <c r="I107" i="1"/>
  <c r="I106" i="1"/>
  <c r="I105" i="1"/>
  <c r="I103" i="1"/>
  <c r="I104" i="1"/>
  <c r="A96" i="1"/>
  <c r="A97" i="1"/>
  <c r="A98" i="1"/>
  <c r="A99" i="1"/>
  <c r="A100" i="1"/>
  <c r="A101" i="1"/>
  <c r="A102" i="1"/>
  <c r="A103" i="1"/>
  <c r="A104" i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I102" i="1"/>
  <c r="I101" i="1"/>
  <c r="I100" i="1"/>
  <c r="I99" i="1"/>
  <c r="I98" i="1"/>
  <c r="I96" i="1"/>
  <c r="I97" i="1"/>
  <c r="I93" i="1"/>
  <c r="I94" i="1"/>
  <c r="I95" i="1"/>
  <c r="I92" i="1"/>
  <c r="I91" i="1"/>
  <c r="I77" i="2"/>
  <c r="I90" i="1"/>
  <c r="I89" i="1"/>
  <c r="I88" i="1"/>
  <c r="I87" i="1"/>
  <c r="I86" i="1"/>
  <c r="I85" i="1"/>
  <c r="I76" i="2"/>
  <c r="I79" i="1"/>
  <c r="I80" i="1"/>
  <c r="I81" i="1"/>
  <c r="I82" i="1"/>
  <c r="I83" i="1"/>
  <c r="I84" i="1"/>
  <c r="I75" i="2"/>
  <c r="I74" i="2"/>
  <c r="I77" i="1"/>
  <c r="I78" i="1"/>
  <c r="I76" i="1"/>
  <c r="I73" i="2"/>
  <c r="I75" i="1"/>
  <c r="I72" i="2"/>
  <c r="I71" i="2"/>
  <c r="I74" i="1"/>
  <c r="I73" i="1"/>
  <c r="I70" i="2"/>
  <c r="I69" i="2"/>
  <c r="I72" i="1"/>
  <c r="I71" i="1"/>
  <c r="I70" i="1"/>
  <c r="I68" i="2"/>
  <c r="I67" i="2"/>
  <c r="I66" i="2"/>
  <c r="I65" i="2"/>
  <c r="I69" i="1"/>
  <c r="I68" i="1"/>
  <c r="I67" i="1"/>
  <c r="I66" i="1"/>
  <c r="I65" i="1"/>
  <c r="I64" i="2"/>
  <c r="I63" i="2"/>
  <c r="I63" i="1"/>
  <c r="I64" i="1"/>
  <c r="J62" i="2"/>
  <c r="J61" i="2"/>
  <c r="I60" i="2"/>
  <c r="I62" i="1"/>
  <c r="I59" i="2"/>
  <c r="I58" i="2"/>
  <c r="I57" i="2"/>
  <c r="I56" i="2"/>
  <c r="I55" i="2"/>
  <c r="I60" i="1"/>
  <c r="I61" i="1"/>
  <c r="I59" i="1"/>
  <c r="J53" i="2"/>
  <c r="J54" i="2"/>
  <c r="J58" i="1"/>
  <c r="J49" i="2"/>
  <c r="J50" i="2"/>
  <c r="J51" i="2"/>
  <c r="J52" i="2"/>
  <c r="J48" i="2"/>
  <c r="J57" i="1"/>
  <c r="J56" i="1"/>
  <c r="J55" i="1"/>
  <c r="J54" i="1"/>
  <c r="I53" i="1"/>
  <c r="I52" i="1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31" i="2"/>
  <c r="I30" i="2"/>
  <c r="I29" i="2"/>
  <c r="I28" i="2"/>
  <c r="I27" i="2"/>
  <c r="I26" i="2"/>
  <c r="I25" i="2"/>
  <c r="I20" i="2"/>
  <c r="I21" i="2"/>
  <c r="I22" i="2"/>
  <c r="I23" i="2"/>
  <c r="I24" i="2"/>
  <c r="I19" i="2"/>
  <c r="I18" i="2"/>
  <c r="I17" i="2"/>
  <c r="I16" i="2"/>
  <c r="I15" i="2"/>
  <c r="I14" i="2"/>
  <c r="I13" i="2"/>
  <c r="I11" i="2"/>
  <c r="I12" i="2"/>
  <c r="I10" i="2"/>
  <c r="J7" i="2"/>
  <c r="J8" i="2"/>
  <c r="J9" i="2"/>
  <c r="J6" i="2"/>
  <c r="I5" i="2"/>
  <c r="J3" i="2"/>
  <c r="J4" i="2"/>
  <c r="J2" i="2"/>
  <c r="I31" i="1"/>
  <c r="I23" i="1"/>
  <c r="I24" i="1"/>
  <c r="I25" i="1"/>
  <c r="I26" i="1"/>
  <c r="I27" i="1"/>
  <c r="I28" i="1"/>
  <c r="I29" i="1"/>
  <c r="I30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  <c r="I4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tc={36EBFC15-0B97-40E5-B7DD-21EF945088B3}</author>
    <author>DAM THI MY HUYEN</author>
    <author>tc={34FF9781-DD42-9A48-A076-FADE82BA2D88}</author>
  </authors>
  <commentList>
    <comment ref="B1" authorId="0" shapeId="0" xr:uid="{36EBFC15-0B97-40E5-B7DD-21EF945088B3}">
      <text>
        <t>[Threaded comment]
Your version of Excel allows you to read this threaded comment; however, any edits to it will get removed if the file is opened in a newer version of Excel. Learn more: https://go.microsoft.com/fwlink/?linkid=870924
Comment:
    @NGUYEN VAN THIEN CHI @TRAN THI TRANG @VO TRUONG DANG HUY Gửi mọi người file quản lý mẫu ung thư dạ dày bác sĩ Dung, đại học y Hà Nội.</t>
      </text>
    </comment>
    <comment ref="K96" authorId="1" shapeId="0" xr:uid="{7BE65AFB-2A68-4088-B7A7-9AF07B0B802B}">
      <text>
        <r>
          <rPr>
            <sz val="11"/>
            <color theme="1"/>
            <rFont val="Arial"/>
            <family val="2"/>
            <scheme val="minor"/>
          </rPr>
          <t>DAM THI MY HUYEN:
TM100</t>
        </r>
      </text>
    </comment>
    <comment ref="K97" authorId="1" shapeId="0" xr:uid="{5C7A0A3A-59BC-4537-B00E-624DCAD4C6D1}">
      <text>
        <r>
          <rPr>
            <sz val="11"/>
            <color theme="1"/>
            <rFont val="Arial"/>
            <family val="2"/>
            <scheme val="minor"/>
          </rPr>
          <t>DAM THI MY HUYEN:
TM100</t>
        </r>
      </text>
    </comment>
    <comment ref="K100" authorId="2" shapeId="0" xr:uid="{34FF9781-DD42-9A48-A076-FADE82BA2D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có cục máu đông </t>
      </text>
    </comment>
  </commentList>
</comments>
</file>

<file path=xl/sharedStrings.xml><?xml version="1.0" encoding="utf-8"?>
<sst xmlns="http://schemas.openxmlformats.org/spreadsheetml/2006/main" count="3419" uniqueCount="1351">
  <si>
    <t>https://docs.google.com/spreadsheets/d/1NL7nC96f90uNMKbf-Ps6YFaXbIP6V2Tgs1NXlk_JFB8/edit?gid=0#gid=0</t>
  </si>
  <si>
    <t>Group</t>
  </si>
  <si>
    <t>Tổng</t>
  </si>
  <si>
    <t>Hủy</t>
  </si>
  <si>
    <t>Không mổ/nội soi/không đủ thông tin</t>
  </si>
  <si>
    <t>Giai đoạn muộn/di căn</t>
  </si>
  <si>
    <t>HNGK</t>
  </si>
  <si>
    <t>HNGH</t>
  </si>
  <si>
    <t>STT</t>
  </si>
  <si>
    <t>Labcode</t>
  </si>
  <si>
    <t>Ngày thu mẫu</t>
  </si>
  <si>
    <t>Ngày nhận mẫu</t>
  </si>
  <si>
    <t>Mã nghiên cứu</t>
  </si>
  <si>
    <t>Bệnh viện</t>
  </si>
  <si>
    <t>Họ và tên</t>
  </si>
  <si>
    <t>Giới tính</t>
  </si>
  <si>
    <t>Năm sinh</t>
  </si>
  <si>
    <t>Tuổi</t>
  </si>
  <si>
    <t>Thể tích plasma</t>
  </si>
  <si>
    <t>Giai đoạn trước mổ</t>
  </si>
  <si>
    <t>Giai đoạn sau mổ</t>
  </si>
  <si>
    <t>Chẩn đoán lâm sàng</t>
  </si>
  <si>
    <t>Stage</t>
  </si>
  <si>
    <t>Kích thước khối u</t>
  </si>
  <si>
    <t>CEA
(ng/mL)</t>
  </si>
  <si>
    <t>CA72-4
(U/mL)</t>
  </si>
  <si>
    <t>CA19-9
(U/mL)</t>
  </si>
  <si>
    <t>Notes</t>
  </si>
  <si>
    <t>HNGK001</t>
  </si>
  <si>
    <t>14/10/2024</t>
  </si>
  <si>
    <t>16/10/2024</t>
  </si>
  <si>
    <t>S1</t>
  </si>
  <si>
    <t>DHYHN</t>
  </si>
  <si>
    <t>LÊ VĂN THƯỜNG</t>
  </si>
  <si>
    <t>NAM</t>
  </si>
  <si>
    <t>TD K→GPB: Viêm loét niêm mạc dạ dày mạn tính, teo vừa, hoạt động mạnh, dị sản ruột.</t>
  </si>
  <si>
    <t>Hẹp môn vị do loét hành tá tràng
→ GPB:  Làm lại sau điều trị (chưa có)</t>
  </si>
  <si>
    <t>Gastric_benign</t>
  </si>
  <si>
    <t>NA</t>
  </si>
  <si>
    <t>7 mL máu</t>
  </si>
  <si>
    <t>HNGK002</t>
  </si>
  <si>
    <t>25/10/2024</t>
  </si>
  <si>
    <t>28/10/2024</t>
  </si>
  <si>
    <t>P1</t>
  </si>
  <si>
    <t>PHẠM THỊ NGỌC</t>
  </si>
  <si>
    <t>NỮ</t>
  </si>
  <si>
    <t>cT3N3M0</t>
  </si>
  <si>
    <t>T4aN3aM0→Loại</t>
  </si>
  <si>
    <t>Gastric</t>
  </si>
  <si>
    <t>IIIB</t>
  </si>
  <si>
    <t>HNGK003</t>
  </si>
  <si>
    <t>P2</t>
  </si>
  <si>
    <t>TƯỞNG THỊ LUÂN</t>
  </si>
  <si>
    <t>T3N0</t>
  </si>
  <si>
    <t>T2N1M0</t>
  </si>
  <si>
    <t>IIA</t>
  </si>
  <si>
    <t>HNGK004</t>
  </si>
  <si>
    <t>30/10/2024</t>
  </si>
  <si>
    <t>P3</t>
  </si>
  <si>
    <t>LÊ THỊ NGÂN</t>
  </si>
  <si>
    <t>K hang môn vị</t>
  </si>
  <si>
    <t>T1N0M0</t>
  </si>
  <si>
    <t>IA</t>
  </si>
  <si>
    <t>HNGK005</t>
  </si>
  <si>
    <t>31/10/2024</t>
  </si>
  <si>
    <t>02/11/2024</t>
  </si>
  <si>
    <t>P4</t>
  </si>
  <si>
    <t>PHẠM QUANG SỸ</t>
  </si>
  <si>
    <t>T2N0M0</t>
  </si>
  <si>
    <t>IB</t>
  </si>
  <si>
    <t>HNGK006</t>
  </si>
  <si>
    <t>P5</t>
  </si>
  <si>
    <t>TỐNG THỊ LIÊN</t>
  </si>
  <si>
    <t>T3N2M0</t>
  </si>
  <si>
    <t>T4bN3aM0→Loại</t>
  </si>
  <si>
    <t>IIIC</t>
  </si>
  <si>
    <t>HNGK007</t>
  </si>
  <si>
    <t>04/11/2024</t>
  </si>
  <si>
    <t>05/11/2024</t>
  </si>
  <si>
    <t>P6</t>
  </si>
  <si>
    <t>BÙI VĂN ĐƯỢC</t>
  </si>
  <si>
    <t>T3N0M0</t>
  </si>
  <si>
    <t>có cặn trắng</t>
  </si>
  <si>
    <t>HNGK008</t>
  </si>
  <si>
    <t>07/11/2024</t>
  </si>
  <si>
    <t>P7</t>
  </si>
  <si>
    <t>PHẠM THẾ ANH</t>
  </si>
  <si>
    <t>T1aN0M0</t>
  </si>
  <si>
    <t>HNGK009</t>
  </si>
  <si>
    <t>09/11/2024</t>
  </si>
  <si>
    <t>P8</t>
  </si>
  <si>
    <t>PHẠM TIẾN NĂM</t>
  </si>
  <si>
    <t>K biểu mô biệt hóa vừa</t>
  </si>
  <si>
    <t>HNGK010</t>
  </si>
  <si>
    <t>P9</t>
  </si>
  <si>
    <t>TRẦN THỊ NỤ</t>
  </si>
  <si>
    <t>cT2N1M0</t>
  </si>
  <si>
    <t>HNGK011</t>
  </si>
  <si>
    <t>10/11/2024</t>
  </si>
  <si>
    <t>13/11/2024</t>
  </si>
  <si>
    <t>P10</t>
  </si>
  <si>
    <t>BÙI SỸ VIỆT</t>
  </si>
  <si>
    <t>T1bN0M0</t>
  </si>
  <si>
    <t>HNGK012</t>
  </si>
  <si>
    <t>19/11/2024</t>
  </si>
  <si>
    <t>21/11/2024</t>
  </si>
  <si>
    <t>P11</t>
  </si>
  <si>
    <t>VŨ THỊ PHƯỢNG</t>
  </si>
  <si>
    <t>K hang vị</t>
  </si>
  <si>
    <t>5 mL máu</t>
  </si>
  <si>
    <t>HNGK013</t>
  </si>
  <si>
    <t>20/11/2024</t>
  </si>
  <si>
    <t>22/11/2024</t>
  </si>
  <si>
    <t>P12</t>
  </si>
  <si>
    <t>PHẠM VĂN CẢNH</t>
  </si>
  <si>
    <t>HNGK014</t>
  </si>
  <si>
    <t>26/11/2024</t>
  </si>
  <si>
    <t>27/11/2024</t>
  </si>
  <si>
    <t>P13</t>
  </si>
  <si>
    <t>NGỌ ĐỨC LẬP</t>
  </si>
  <si>
    <t>T4bN3M0→Loại</t>
  </si>
  <si>
    <t>HNGK015</t>
  </si>
  <si>
    <t>13/12/2024</t>
  </si>
  <si>
    <t>P14</t>
  </si>
  <si>
    <t>CÔNG VĂN LẠI</t>
  </si>
  <si>
    <t>Ung thư thân vị TxN1M0</t>
  </si>
  <si>
    <t>T2N3aM0</t>
  </si>
  <si>
    <t>IIIA</t>
  </si>
  <si>
    <t>HNGK016</t>
  </si>
  <si>
    <t>14/12/2024</t>
  </si>
  <si>
    <t>P15</t>
  </si>
  <si>
    <t>HOÀNG VĂN VIỄN</t>
  </si>
  <si>
    <t>K dạ dày hang vị</t>
  </si>
  <si>
    <t>T4aN1M0</t>
  </si>
  <si>
    <t>HNGK017</t>
  </si>
  <si>
    <t>18/12/2024</t>
  </si>
  <si>
    <t>19/12/2024</t>
  </si>
  <si>
    <t>P16</t>
  </si>
  <si>
    <t>NGUYỄN THANH PHAN</t>
  </si>
  <si>
    <t>Hẹp môn vị do K dạ dày, theo dõi di căn gan
Viêm DD mạn tính, dị sản ruột, loạn sản độ thấp</t>
  </si>
  <si>
    <t>HNGK018</t>
  </si>
  <si>
    <t>21/12/2024</t>
  </si>
  <si>
    <t>P17</t>
  </si>
  <si>
    <t>KHỔNG THỊ NGUYỆT</t>
  </si>
  <si>
    <t>K dạ dày</t>
  </si>
  <si>
    <t>HNGK019</t>
  </si>
  <si>
    <t>25/12/2024</t>
  </si>
  <si>
    <t>27/12/2024</t>
  </si>
  <si>
    <t>P18</t>
  </si>
  <si>
    <t>PHÙNG THỊ TOAN</t>
  </si>
  <si>
    <t>K dạ dày cT2N0M0</t>
  </si>
  <si>
    <t>HNGK020</t>
  </si>
  <si>
    <t>31/12/2024</t>
  </si>
  <si>
    <t>02/01/2025</t>
  </si>
  <si>
    <t>P19</t>
  </si>
  <si>
    <t>VŨ THỊ THĂNG</t>
  </si>
  <si>
    <t>K dạ dày, hẹp môn vị</t>
  </si>
  <si>
    <t>HNGK021</t>
  </si>
  <si>
    <t>04/01/2025</t>
  </si>
  <si>
    <t>P20</t>
  </si>
  <si>
    <t>TRẦN VĂN KÝ</t>
  </si>
  <si>
    <t>HNGK022</t>
  </si>
  <si>
    <t>07/01/2025</t>
  </si>
  <si>
    <t>09/01/2025</t>
  </si>
  <si>
    <t>P21</t>
  </si>
  <si>
    <t>TÔ THỊ NHO</t>
  </si>
  <si>
    <t>K BM tuyến</t>
  </si>
  <si>
    <t>T2N2M0</t>
  </si>
  <si>
    <t>IIB</t>
  </si>
  <si>
    <t>HNGK023</t>
  </si>
  <si>
    <t>06/01/2025</t>
  </si>
  <si>
    <t>P22</t>
  </si>
  <si>
    <t>NGUYỄN THỊ HUỆ</t>
  </si>
  <si>
    <t xml:space="preserve">NỮ </t>
  </si>
  <si>
    <t>cT3N1M0</t>
  </si>
  <si>
    <t>pT4aN3aM0→Loại</t>
  </si>
  <si>
    <t>HNGK024</t>
  </si>
  <si>
    <t>P23</t>
  </si>
  <si>
    <t>HOÀNG CÔNG TRỌNG</t>
  </si>
  <si>
    <t>cT1N0M0</t>
  </si>
  <si>
    <t>HNGK025</t>
  </si>
  <si>
    <t>10/01/2025</t>
  </si>
  <si>
    <t>11/01/2025</t>
  </si>
  <si>
    <t>P24</t>
  </si>
  <si>
    <t>NGUYỄN ĐẮC TRUNG</t>
  </si>
  <si>
    <t>HNGK026</t>
  </si>
  <si>
    <t>P25</t>
  </si>
  <si>
    <t>NGUYỄN VĂN HƯNG</t>
  </si>
  <si>
    <t>cT2N0M0</t>
  </si>
  <si>
    <t>pT1bN0M0</t>
  </si>
  <si>
    <t>4 mL máu</t>
  </si>
  <si>
    <t>HNGK027</t>
  </si>
  <si>
    <t>12/01/2025</t>
  </si>
  <si>
    <t>14/01/2025</t>
  </si>
  <si>
    <t>P26</t>
  </si>
  <si>
    <t>LÊ THỊ KHẾ</t>
  </si>
  <si>
    <t>T4N1M0</t>
  </si>
  <si>
    <t>T4aN2M0</t>
  </si>
  <si>
    <t>HNGK028</t>
  </si>
  <si>
    <t>P27</t>
  </si>
  <si>
    <t>NGUYỄN ĐỨC HƯỞNG</t>
  </si>
  <si>
    <t>HNGK029</t>
  </si>
  <si>
    <t>16/01/2025</t>
  </si>
  <si>
    <t>P28</t>
  </si>
  <si>
    <t>NGUYỄN DUY MẠNH</t>
  </si>
  <si>
    <t>TM50</t>
  </si>
  <si>
    <t>HNGK030</t>
  </si>
  <si>
    <t>06/02/2025</t>
  </si>
  <si>
    <t>08/02/2025</t>
  </si>
  <si>
    <t>P29</t>
  </si>
  <si>
    <t>KHUẤT HỮU TUYẾN</t>
  </si>
  <si>
    <t>T3N1M0</t>
  </si>
  <si>
    <t>HNGK031</t>
  </si>
  <si>
    <t>10/02/2025</t>
  </si>
  <si>
    <t>11/02/2025</t>
  </si>
  <si>
    <t>P30</t>
  </si>
  <si>
    <t>VŨ ĐÌNH VƯƠNG</t>
  </si>
  <si>
    <t>HNGK032</t>
  </si>
  <si>
    <t>12/02/2025</t>
  </si>
  <si>
    <t>P31</t>
  </si>
  <si>
    <t>ĐỖ ANH DŨNG</t>
  </si>
  <si>
    <t>K biểu mô tuyến DD</t>
  </si>
  <si>
    <t>HNGK033</t>
  </si>
  <si>
    <t>13/02/2025</t>
  </si>
  <si>
    <t>P32</t>
  </si>
  <si>
    <t>ĐINH THỊ HUỆ</t>
  </si>
  <si>
    <t>HNGK034</t>
  </si>
  <si>
    <t>15/02/2025</t>
  </si>
  <si>
    <t>P33</t>
  </si>
  <si>
    <t>NGUYỄN MINH THÁI</t>
  </si>
  <si>
    <t>K hang vị dạ dày</t>
  </si>
  <si>
    <t>HNGK035</t>
  </si>
  <si>
    <t>07/03/2025</t>
  </si>
  <si>
    <t>08/03/2025</t>
  </si>
  <si>
    <t>P34</t>
  </si>
  <si>
    <t>NGUYỄN MINH THUYẾT</t>
  </si>
  <si>
    <t>pT1N1M0</t>
  </si>
  <si>
    <t>HNGK036</t>
  </si>
  <si>
    <t>13/03/2025</t>
  </si>
  <si>
    <t>14/03/2025</t>
  </si>
  <si>
    <t>P35</t>
  </si>
  <si>
    <t>BV K</t>
  </si>
  <si>
    <t>NGUYỄN THỊ DƯƠNG</t>
  </si>
  <si>
    <t>T4N0M0</t>
  </si>
  <si>
    <t>Thu máu không đúng quy cách</t>
  </si>
  <si>
    <t>HNGK037</t>
  </si>
  <si>
    <t>P36</t>
  </si>
  <si>
    <t>ĐỒNG HÙNG KHƯƠNG</t>
  </si>
  <si>
    <t>M1</t>
  </si>
  <si>
    <t>IV</t>
  </si>
  <si>
    <t>Loại, cần trả kq, Thu máu không đúng quy cách</t>
  </si>
  <si>
    <t>HNGK038</t>
  </si>
  <si>
    <t>P37</t>
  </si>
  <si>
    <t>NGUYỄN MẬU TẶNG</t>
  </si>
  <si>
    <t>T4bN2M0→Loại</t>
  </si>
  <si>
    <t>HNGK039</t>
  </si>
  <si>
    <t>15/03/2025</t>
  </si>
  <si>
    <t>P38</t>
  </si>
  <si>
    <t>PHAN THỊ NỮ</t>
  </si>
  <si>
    <t>pT4aN3aM0</t>
  </si>
  <si>
    <t>5 mL máu, TM50</t>
  </si>
  <si>
    <t>HNGK040</t>
  </si>
  <si>
    <t>18/03/2025</t>
  </si>
  <si>
    <t>19/03/2025</t>
  </si>
  <si>
    <t>P39</t>
  </si>
  <si>
    <t>PHẠM LÊ HUÂN</t>
  </si>
  <si>
    <t>HNGK041</t>
  </si>
  <si>
    <t>P40</t>
  </si>
  <si>
    <t>ĐÀM THỊ LAN</t>
  </si>
  <si>
    <t>pT4aN0M0</t>
  </si>
  <si>
    <t>HNGK042</t>
  </si>
  <si>
    <t>P41</t>
  </si>
  <si>
    <t>NÔNG VĂN THANH</t>
  </si>
  <si>
    <t>Kết hợp K đại tràng</t>
  </si>
  <si>
    <t>Gastric_metastasis</t>
  </si>
  <si>
    <t>HNGK043</t>
  </si>
  <si>
    <t>20/03/2025</t>
  </si>
  <si>
    <t>P42</t>
  </si>
  <si>
    <t>VŨ HỒNG CẨN</t>
  </si>
  <si>
    <t>pT1aN0M0</t>
  </si>
  <si>
    <t>HNGK044</t>
  </si>
  <si>
    <t>P43</t>
  </si>
  <si>
    <t>NGUYỄN THỊ THÁI</t>
  </si>
  <si>
    <t>HNGK045</t>
  </si>
  <si>
    <t>21/03/2025</t>
  </si>
  <si>
    <t>P44</t>
  </si>
  <si>
    <t>NÔNG THỊ THẢY</t>
  </si>
  <si>
    <t>HNGK046</t>
  </si>
  <si>
    <t>P45</t>
  </si>
  <si>
    <t>TẠ ĐĂNG TRƯỜNG</t>
  </si>
  <si>
    <t>TisN0M0</t>
  </si>
  <si>
    <t>Loạn sản thấp</t>
  </si>
  <si>
    <t>Gastric_precancerous</t>
  </si>
  <si>
    <t>Nghi ngờ, Thu máu không đúng quy cách</t>
  </si>
  <si>
    <t>HNGK047</t>
  </si>
  <si>
    <t>22/03/2025</t>
  </si>
  <si>
    <t>P46</t>
  </si>
  <si>
    <t>NGUYỄN VĂN ĐẠI</t>
  </si>
  <si>
    <t>pT4bN3aM0</t>
  </si>
  <si>
    <t>HNGK048</t>
  </si>
  <si>
    <t>P47</t>
  </si>
  <si>
    <t>ĐỖ BẢO QUYÊN</t>
  </si>
  <si>
    <t>Di căn phúc mạc
→M1</t>
  </si>
  <si>
    <t>Di căn</t>
  </si>
  <si>
    <t>HNGK049</t>
  </si>
  <si>
    <t>P48</t>
  </si>
  <si>
    <t>NGUYỄN THỊ HƯƠNG</t>
  </si>
  <si>
    <t>pT4aN3bM0→Loại</t>
  </si>
  <si>
    <t>HNGK050</t>
  </si>
  <si>
    <t>P49</t>
  </si>
  <si>
    <t>LÊ HỮU TRỊ</t>
  </si>
  <si>
    <t>HNGK051</t>
  </si>
  <si>
    <t>24/03/2025</t>
  </si>
  <si>
    <t>P50</t>
  </si>
  <si>
    <t>VŨ THỊ HOA</t>
  </si>
  <si>
    <t>HNGK052</t>
  </si>
  <si>
    <t>P51</t>
  </si>
  <si>
    <t>HOÀNG THỊ TÚ</t>
  </si>
  <si>
    <t>pT4aN1M0</t>
  </si>
  <si>
    <t>HNGK053</t>
  </si>
  <si>
    <t>25/03/2025</t>
  </si>
  <si>
    <t>26/03/2025</t>
  </si>
  <si>
    <t>P52</t>
  </si>
  <si>
    <t>LÊ VĂN RÂN</t>
  </si>
  <si>
    <t>pT4aN2M0</t>
  </si>
  <si>
    <t>HNGK054</t>
  </si>
  <si>
    <t>P53</t>
  </si>
  <si>
    <t>NGUYỄN VĂN DƯƠNG</t>
  </si>
  <si>
    <t>HNGK055</t>
  </si>
  <si>
    <t>27/03/2025</t>
  </si>
  <si>
    <t>P55</t>
  </si>
  <si>
    <t>NGUYỄN THỊ SEN</t>
  </si>
  <si>
    <t>HNGK056</t>
  </si>
  <si>
    <t>P56</t>
  </si>
  <si>
    <t>ĐỖ THỊ VINH</t>
  </si>
  <si>
    <t>T1bN2M0</t>
  </si>
  <si>
    <t>HNGK057</t>
  </si>
  <si>
    <t>28/03/2025</t>
  </si>
  <si>
    <t>P54</t>
  </si>
  <si>
    <t>VÌ THỊ PÓM</t>
  </si>
  <si>
    <t>pT4bN0M0</t>
  </si>
  <si>
    <t>HNGK058</t>
  </si>
  <si>
    <t>29/03/2025</t>
  </si>
  <si>
    <t>P57</t>
  </si>
  <si>
    <t>NGÔ THỊ TÂM</t>
  </si>
  <si>
    <t>HNGK059</t>
  </si>
  <si>
    <t>P58</t>
  </si>
  <si>
    <t>ĐÀO VĂN HOÀI</t>
  </si>
  <si>
    <t>HNGK060</t>
  </si>
  <si>
    <t>P59</t>
  </si>
  <si>
    <t>NGUYỄN THỊ PHẲNG</t>
  </si>
  <si>
    <t>T3N3aM0</t>
  </si>
  <si>
    <t>HNGK061</t>
  </si>
  <si>
    <t>31/03/2025</t>
  </si>
  <si>
    <t>01/04/2025</t>
  </si>
  <si>
    <t>P60</t>
  </si>
  <si>
    <t>NGUYỄN VĂN SƯỢC</t>
  </si>
  <si>
    <t>T4bN0M0</t>
  </si>
  <si>
    <t>HNGK062</t>
  </si>
  <si>
    <t>02/04/2025</t>
  </si>
  <si>
    <t>P63</t>
  </si>
  <si>
    <t>PHẠM THANH LỰC</t>
  </si>
  <si>
    <t>Hụt plasma, Thu máu không đúng quy cách</t>
  </si>
  <si>
    <t>HNGK063</t>
  </si>
  <si>
    <t>P64</t>
  </si>
  <si>
    <t>PHAN ANH</t>
  </si>
  <si>
    <t>HNGK064</t>
  </si>
  <si>
    <t>03/04/2025</t>
  </si>
  <si>
    <t>P65</t>
  </si>
  <si>
    <t>NGUYỄN THÀNH CHUNG</t>
  </si>
  <si>
    <t>HNGK065</t>
  </si>
  <si>
    <t>P66</t>
  </si>
  <si>
    <t>NGUYỄN VĂN THẬN</t>
  </si>
  <si>
    <t>HNGK066</t>
  </si>
  <si>
    <t>P62</t>
  </si>
  <si>
    <t>TRƯƠNG THỊ NAM</t>
  </si>
  <si>
    <t>Không mổ→Loại</t>
  </si>
  <si>
    <t>Gastric_highrisk</t>
  </si>
  <si>
    <t>HNGK067</t>
  </si>
  <si>
    <t>P67</t>
  </si>
  <si>
    <t>TRƯƠNG THỊ TUYẾN</t>
  </si>
  <si>
    <t>HNGK068</t>
  </si>
  <si>
    <t>P68</t>
  </si>
  <si>
    <t>VŨ THỊ THỦY</t>
  </si>
  <si>
    <t>HNGK069</t>
  </si>
  <si>
    <t>04/04/2025</t>
  </si>
  <si>
    <t>P69</t>
  </si>
  <si>
    <t>TRỊNH XUÂN LỘC</t>
  </si>
  <si>
    <t>Loạn sản cao</t>
  </si>
  <si>
    <t>HNGK070</t>
  </si>
  <si>
    <t>P70</t>
  </si>
  <si>
    <t>ĐẶNG DUY THUẬN</t>
  </si>
  <si>
    <t>HNGK071</t>
  </si>
  <si>
    <t>P71</t>
  </si>
  <si>
    <t>NGUYỄN VĂN SÁCH</t>
  </si>
  <si>
    <t>HNGK072</t>
  </si>
  <si>
    <t>05/04/2025</t>
  </si>
  <si>
    <t>P72</t>
  </si>
  <si>
    <t>VŨ THỊ CÀ</t>
  </si>
  <si>
    <t>ZERO</t>
  </si>
  <si>
    <t>HNGK073</t>
  </si>
  <si>
    <t>P73</t>
  </si>
  <si>
    <t>PHẠM THỊ LÚA</t>
  </si>
  <si>
    <t>pT3N0M0</t>
  </si>
  <si>
    <t>HNGK074</t>
  </si>
  <si>
    <t>08/04/2025</t>
  </si>
  <si>
    <t>09/04/2025</t>
  </si>
  <si>
    <t>P74</t>
  </si>
  <si>
    <t>ĐINH THỊ HAM</t>
  </si>
  <si>
    <t>HNGK075</t>
  </si>
  <si>
    <t>10/04/2025</t>
  </si>
  <si>
    <t>P75</t>
  </si>
  <si>
    <t>HỒ ĐĂNG KHOA</t>
  </si>
  <si>
    <t>HNGK076</t>
  </si>
  <si>
    <t>14/04/2025</t>
  </si>
  <si>
    <t>P76</t>
  </si>
  <si>
    <t>CẤN THỊ LOAN</t>
  </si>
  <si>
    <t>4.8</t>
  </si>
  <si>
    <t>HNGK077</t>
  </si>
  <si>
    <t>P77</t>
  </si>
  <si>
    <t>NGUYỄN NGỌC HẢI</t>
  </si>
  <si>
    <t>3.8</t>
  </si>
  <si>
    <t>HNGK078</t>
  </si>
  <si>
    <t>15/04/2025</t>
  </si>
  <si>
    <t>16/04/2025</t>
  </si>
  <si>
    <t>P78</t>
  </si>
  <si>
    <t>NGUYỄN THỊ OANH</t>
  </si>
  <si>
    <t>4.1</t>
  </si>
  <si>
    <t>pT2N0M0</t>
  </si>
  <si>
    <t>HNGK079</t>
  </si>
  <si>
    <t>P79</t>
  </si>
  <si>
    <t>NGUYỄN NGỌC LOAN</t>
  </si>
  <si>
    <t>5.1</t>
  </si>
  <si>
    <t>HNGK080</t>
  </si>
  <si>
    <t>P80</t>
  </si>
  <si>
    <t>NGUYỄN VĂN TRÌNH</t>
  </si>
  <si>
    <t>3.5</t>
  </si>
  <si>
    <t>HNGK081</t>
  </si>
  <si>
    <t>P81</t>
  </si>
  <si>
    <t>ĐỒNG VĂN LUYỆN</t>
  </si>
  <si>
    <t>HNGK082</t>
  </si>
  <si>
    <t>P82</t>
  </si>
  <si>
    <t>NGUYỄN THANH TÂM</t>
  </si>
  <si>
    <t>4.9</t>
  </si>
  <si>
    <t>HNGK083</t>
  </si>
  <si>
    <t>P83</t>
  </si>
  <si>
    <t>HỨA VĂN KÝ</t>
  </si>
  <si>
    <t>HNGK084</t>
  </si>
  <si>
    <t>17/04/2025</t>
  </si>
  <si>
    <t>P84</t>
  </si>
  <si>
    <t>LÊ THỊ MINH QUÝ</t>
  </si>
  <si>
    <t>Viêm mạn tính</t>
  </si>
  <si>
    <t>HNGK085</t>
  </si>
  <si>
    <t>19/04/2025</t>
  </si>
  <si>
    <t>P85</t>
  </si>
  <si>
    <t>NGUYỄN THỊ DUYÊN</t>
  </si>
  <si>
    <t>HNGK086</t>
  </si>
  <si>
    <t>21/04/2025</t>
  </si>
  <si>
    <t>22/04/2025</t>
  </si>
  <si>
    <t>P86</t>
  </si>
  <si>
    <t>HNGK087</t>
  </si>
  <si>
    <t>P87</t>
  </si>
  <si>
    <t>PHÙ BÍCH LÀN</t>
  </si>
  <si>
    <t>HNGK088</t>
  </si>
  <si>
    <t>P88</t>
  </si>
  <si>
    <t>HOÀNG THỊ HIỀN</t>
  </si>
  <si>
    <t>HNGK089</t>
  </si>
  <si>
    <t>P89</t>
  </si>
  <si>
    <t>NGUYỄN THỊ HẠN</t>
  </si>
  <si>
    <t>HNGK090</t>
  </si>
  <si>
    <t>24/04/2025</t>
  </si>
  <si>
    <t>25/04/2025</t>
  </si>
  <si>
    <t>P90</t>
  </si>
  <si>
    <t>NGUYỄN VĂN TÍNH</t>
  </si>
  <si>
    <t>HNGK091</t>
  </si>
  <si>
    <t>26/04/2025</t>
  </si>
  <si>
    <t>B2</t>
  </si>
  <si>
    <t>MẠC VĂN HÙNG</t>
  </si>
  <si>
    <t>U tuyến dạ dày</t>
  </si>
  <si>
    <t>Loạn sản vừa</t>
  </si>
  <si>
    <t>HNGK092</t>
  </si>
  <si>
    <t>28/04/2025</t>
  </si>
  <si>
    <t>29/04/2025</t>
  </si>
  <si>
    <t>P91</t>
  </si>
  <si>
    <t>LÊ VĂN LUẬN</t>
  </si>
  <si>
    <t>HNGK093</t>
  </si>
  <si>
    <t>P92</t>
  </si>
  <si>
    <t>PHẠM THỊ THU HUYỀN</t>
  </si>
  <si>
    <t>chỉ có 1 kq+ Hoá mô MD
--&gt; ko đủ dữ liệu phân gđ</t>
  </si>
  <si>
    <t>Loại</t>
  </si>
  <si>
    <t>HNGK094</t>
  </si>
  <si>
    <t>P93</t>
  </si>
  <si>
    <t>LÊ THỊ HỢI</t>
  </si>
  <si>
    <t>T1N1M0</t>
  </si>
  <si>
    <t>HNGK095</t>
  </si>
  <si>
    <t>03/05/2025</t>
  </si>
  <si>
    <t>P94</t>
  </si>
  <si>
    <t>PHẠM VĂN DUYÊN</t>
  </si>
  <si>
    <t>2.9</t>
  </si>
  <si>
    <t>HNGK096</t>
  </si>
  <si>
    <t>P95</t>
  </si>
  <si>
    <t>NGUYỄN MẠNH QUÂN</t>
  </si>
  <si>
    <t>3.4</t>
  </si>
  <si>
    <t>HNGK097</t>
  </si>
  <si>
    <t>06/05/2025</t>
  </si>
  <si>
    <t>07/05/2025</t>
  </si>
  <si>
    <t>B3</t>
  </si>
  <si>
    <t>TRẦN VÕ THỊ TÌNH</t>
  </si>
  <si>
    <t>Nguy cơ cao</t>
  </si>
  <si>
    <t>HNGK098</t>
  </si>
  <si>
    <t>B4</t>
  </si>
  <si>
    <t>TĂNG THỊ ÁNH</t>
  </si>
  <si>
    <t>HNGK099</t>
  </si>
  <si>
    <t>08/05/2025</t>
  </si>
  <si>
    <t>09/05/2025</t>
  </si>
  <si>
    <t>P96</t>
  </si>
  <si>
    <t>VŨ ĐÌNH THẮNG</t>
  </si>
  <si>
    <t>U tế bào hình thoi→lành tính</t>
  </si>
  <si>
    <t>HNGK100</t>
  </si>
  <si>
    <t>10/05/2025</t>
  </si>
  <si>
    <t>P97</t>
  </si>
  <si>
    <t>BÙI VĂN PHÚ</t>
  </si>
  <si>
    <t>HNGK101</t>
  </si>
  <si>
    <t>12/05/2025</t>
  </si>
  <si>
    <t>14/05/2025</t>
  </si>
  <si>
    <t>P98</t>
  </si>
  <si>
    <t>BÙI THỊ NHÀN</t>
  </si>
  <si>
    <t>5.2</t>
  </si>
  <si>
    <t>HNGK102</t>
  </si>
  <si>
    <t>15/05/2025</t>
  </si>
  <si>
    <t>P99</t>
  </si>
  <si>
    <t>PHẠM THU HOÀN</t>
  </si>
  <si>
    <t>4.7</t>
  </si>
  <si>
    <t>HNGK103</t>
  </si>
  <si>
    <t>P100</t>
  </si>
  <si>
    <t>PHẠM THỊ DUÂN</t>
  </si>
  <si>
    <t>HNGK104</t>
  </si>
  <si>
    <t>20/05/2025</t>
  </si>
  <si>
    <t>21/05/2025</t>
  </si>
  <si>
    <t>P101</t>
  </si>
  <si>
    <t>NGUYỄN VĂN HỒNG</t>
  </si>
  <si>
    <t>HNGK105</t>
  </si>
  <si>
    <t>B5</t>
  </si>
  <si>
    <t>NGUYỄN MẠNH TUẤN</t>
  </si>
  <si>
    <t>HNGK106</t>
  </si>
  <si>
    <t>22/05/2025</t>
  </si>
  <si>
    <t>24/05/2025</t>
  </si>
  <si>
    <t>P102</t>
  </si>
  <si>
    <t>LÊ VƯƠNG</t>
  </si>
  <si>
    <t>CGT</t>
  </si>
  <si>
    <t>HNGK107</t>
  </si>
  <si>
    <t>P103</t>
  </si>
  <si>
    <t>BÙI VĂN LẠNG</t>
  </si>
  <si>
    <t>K di căn→M1</t>
  </si>
  <si>
    <t>HNGK108</t>
  </si>
  <si>
    <t>26/05/2025</t>
  </si>
  <si>
    <t>27/05/2025</t>
  </si>
  <si>
    <t>P104</t>
  </si>
  <si>
    <t>NGUYỄN VĂN TRÌ</t>
  </si>
  <si>
    <t>pT3N1M0</t>
  </si>
  <si>
    <t>HNGK109</t>
  </si>
  <si>
    <t>28/05/2025</t>
  </si>
  <si>
    <t>P105</t>
  </si>
  <si>
    <t>LÊ VĂN TIÊU</t>
  </si>
  <si>
    <t>HNGK110</t>
  </si>
  <si>
    <t>P106</t>
  </si>
  <si>
    <t>TRẦN VĂN BẢO</t>
  </si>
  <si>
    <t>HNGK111</t>
  </si>
  <si>
    <t>P107</t>
  </si>
  <si>
    <t>ĐỖ THỊ KHUYÊN</t>
  </si>
  <si>
    <t>Máu lơ lửng, TM50</t>
  </si>
  <si>
    <t>HNGK112</t>
  </si>
  <si>
    <t>29/05/2025</t>
  </si>
  <si>
    <t>P108</t>
  </si>
  <si>
    <t>ĐINH THỊ VINH</t>
  </si>
  <si>
    <t>HNGK113</t>
  </si>
  <si>
    <t>P109</t>
  </si>
  <si>
    <t>LƯƠNG VĂN KIỆM</t>
  </si>
  <si>
    <t>HNGK114</t>
  </si>
  <si>
    <t>P110</t>
  </si>
  <si>
    <t>NGUYỄN THỊ LAN</t>
  </si>
  <si>
    <t>HNGK115</t>
  </si>
  <si>
    <t>P111</t>
  </si>
  <si>
    <t>LÊ VĂN HOÀN</t>
  </si>
  <si>
    <t>HNGK116</t>
  </si>
  <si>
    <t>30/05/2025</t>
  </si>
  <si>
    <t>P112</t>
  </si>
  <si>
    <t>LÊ CÔNG ĐÚC</t>
  </si>
  <si>
    <t>HNGK117</t>
  </si>
  <si>
    <t>P113</t>
  </si>
  <si>
    <t>TRẦN HUY QUY</t>
  </si>
  <si>
    <t>HNGK118</t>
  </si>
  <si>
    <t>31/05/2025</t>
  </si>
  <si>
    <t>P114</t>
  </si>
  <si>
    <t>NGUYỄN QUÝ CÁC</t>
  </si>
  <si>
    <t>HNGK119</t>
  </si>
  <si>
    <t>02/06/2025</t>
  </si>
  <si>
    <t>04/06/2025</t>
  </si>
  <si>
    <t>P115</t>
  </si>
  <si>
    <t>LÊ THỊ VÁNH</t>
  </si>
  <si>
    <t>T1N2M0</t>
  </si>
  <si>
    <t>HNGK120</t>
  </si>
  <si>
    <t>P116</t>
  </si>
  <si>
    <t>LÒ VĂN THƯƠNG</t>
  </si>
  <si>
    <t>HNGK121</t>
  </si>
  <si>
    <t>03/06/2025</t>
  </si>
  <si>
    <t>P117</t>
  </si>
  <si>
    <t>NGUYỄN THỊ HƯỜNG</t>
  </si>
  <si>
    <t>HNGK122</t>
  </si>
  <si>
    <t>P118</t>
  </si>
  <si>
    <t>TRẦN VĂN QUẾ</t>
  </si>
  <si>
    <t>T4aN3bM0</t>
  </si>
  <si>
    <t>HNGK123</t>
  </si>
  <si>
    <t>P119</t>
  </si>
  <si>
    <t>MAI THỊ Ý</t>
  </si>
  <si>
    <t>HNGK124</t>
  </si>
  <si>
    <t>05/06/2025</t>
  </si>
  <si>
    <t>07/06/2025</t>
  </si>
  <si>
    <t>P120</t>
  </si>
  <si>
    <t>NGUYỄN XUÂN ĐỊNH</t>
  </si>
  <si>
    <t>TM25, CGT</t>
  </si>
  <si>
    <t>HNGK125</t>
  </si>
  <si>
    <t>P121</t>
  </si>
  <si>
    <t>ĐỖ THỊ ĐÀO</t>
  </si>
  <si>
    <t>HNGK126</t>
  </si>
  <si>
    <t>06/06/2025</t>
  </si>
  <si>
    <t>P122</t>
  </si>
  <si>
    <t>NGUYỄN THỊ KHOA</t>
  </si>
  <si>
    <t>HNGK127</t>
  </si>
  <si>
    <t>P123</t>
  </si>
  <si>
    <t>THÂN VĂN SẢN</t>
  </si>
  <si>
    <t>HNGK128</t>
  </si>
  <si>
    <t>P124</t>
  </si>
  <si>
    <t>PHẠM VĂN THÍCH</t>
  </si>
  <si>
    <t>HNGK129</t>
  </si>
  <si>
    <t>P125</t>
  </si>
  <si>
    <t>NGUYỄN THỊ HOÀN</t>
  </si>
  <si>
    <t>HNGK130</t>
  </si>
  <si>
    <t>P126</t>
  </si>
  <si>
    <t>TRƯƠNG PHƯƠNG</t>
  </si>
  <si>
    <t>HNGK131</t>
  </si>
  <si>
    <t>10/06/2025</t>
  </si>
  <si>
    <t>11/06/2025</t>
  </si>
  <si>
    <t>P127</t>
  </si>
  <si>
    <t xml:space="preserve">NGUYỄN VĂN BÌNH </t>
  </si>
  <si>
    <t>HNGK132</t>
  </si>
  <si>
    <t>P128</t>
  </si>
  <si>
    <t>VŨ THỊ NA</t>
  </si>
  <si>
    <t>HNGK133</t>
  </si>
  <si>
    <t>P129</t>
  </si>
  <si>
    <t>PHẠM VĂN TÝ</t>
  </si>
  <si>
    <t>HNGK134</t>
  </si>
  <si>
    <t>P130</t>
  </si>
  <si>
    <t>DƯƠNG THỊ LAN</t>
  </si>
  <si>
    <t>HNGK135</t>
  </si>
  <si>
    <t>P131</t>
  </si>
  <si>
    <t>NGUYỄN THỊ LƯU</t>
  </si>
  <si>
    <t>Sau mổ không làm giải phẫu bệnh 
→Không có thông tin để phân loại</t>
  </si>
  <si>
    <t>LOẠI</t>
  </si>
  <si>
    <t>HNGK136</t>
  </si>
  <si>
    <t>12/06/2025</t>
  </si>
  <si>
    <t>P132</t>
  </si>
  <si>
    <t>NGUYỄN THỊ TÂN</t>
  </si>
  <si>
    <t>HNGK137</t>
  </si>
  <si>
    <t>P133</t>
  </si>
  <si>
    <t>TRẦN THANH MINH</t>
  </si>
  <si>
    <t>HNGK138</t>
  </si>
  <si>
    <t>13/06/2025</t>
  </si>
  <si>
    <t>P134</t>
  </si>
  <si>
    <t>TRẦN THỊ MẤN</t>
  </si>
  <si>
    <t>HNGK139</t>
  </si>
  <si>
    <t>P135</t>
  </si>
  <si>
    <t>HNGK140</t>
  </si>
  <si>
    <t>B6</t>
  </si>
  <si>
    <t>LAO KHOA</t>
  </si>
  <si>
    <t>NGHIÊM ĐỨC DỤNG</t>
  </si>
  <si>
    <t>HNGK141</t>
  </si>
  <si>
    <t>B7</t>
  </si>
  <si>
    <t>NGUYỄN VĂN AN</t>
  </si>
  <si>
    <t>HNGK142</t>
  </si>
  <si>
    <t>14/06/2025</t>
  </si>
  <si>
    <t>P136</t>
  </si>
  <si>
    <t>LÊ XUÂN ẢNH</t>
  </si>
  <si>
    <t>HNGK143</t>
  </si>
  <si>
    <t>18/06/2025</t>
  </si>
  <si>
    <t>P137</t>
  </si>
  <si>
    <t>VŨ ĐÌNH SOÁI</t>
  </si>
  <si>
    <t>HNGK144</t>
  </si>
  <si>
    <t>P138</t>
  </si>
  <si>
    <t>NGÔ THỊ NĂM</t>
  </si>
  <si>
    <t>B</t>
  </si>
  <si>
    <t>HNGK145</t>
  </si>
  <si>
    <t>17/06/2025</t>
  </si>
  <si>
    <t>P139</t>
  </si>
  <si>
    <t>BÙI NGỌC THÔNG</t>
  </si>
  <si>
    <t>HNGK146</t>
  </si>
  <si>
    <t>19/06/2025</t>
  </si>
  <si>
    <t>P140</t>
  </si>
  <si>
    <t>LÊ ĐỨC CHIÊM</t>
  </si>
  <si>
    <t>HNGK147</t>
  </si>
  <si>
    <t>P141</t>
  </si>
  <si>
    <t>HOÀNG VĂN THOAN</t>
  </si>
  <si>
    <t>HNGK148</t>
  </si>
  <si>
    <t>P142</t>
  </si>
  <si>
    <t>NGUYỄN VĂN VIỆT</t>
  </si>
  <si>
    <t>HNGK149</t>
  </si>
  <si>
    <t>P143</t>
  </si>
  <si>
    <t>NGUYỄN ĐỖ LƯƠNG</t>
  </si>
  <si>
    <t>HNGK150</t>
  </si>
  <si>
    <t>20/06/2025</t>
  </si>
  <si>
    <t>P144</t>
  </si>
  <si>
    <t>NGUYỄN HỮU TÂN</t>
  </si>
  <si>
    <t xml:space="preserve">NAM </t>
  </si>
  <si>
    <t>Thu mẫu sai</t>
  </si>
  <si>
    <t>HNGK151</t>
  </si>
  <si>
    <t>P145</t>
  </si>
  <si>
    <t>NGUYỄN THỊ THÙY</t>
  </si>
  <si>
    <t>pT1bN1M0</t>
  </si>
  <si>
    <t>HNGK152</t>
  </si>
  <si>
    <t>24/06/2025</t>
  </si>
  <si>
    <t>25/06/2025</t>
  </si>
  <si>
    <t>P146</t>
  </si>
  <si>
    <t>Thu máu không đúng quy cách, M máu &lt; 10mL (~8mL)</t>
  </si>
  <si>
    <t>HNGK153</t>
  </si>
  <si>
    <t>26/06/2025</t>
  </si>
  <si>
    <t>P147</t>
  </si>
  <si>
    <t>LÊ THỊ THẢO</t>
  </si>
  <si>
    <t>HNGK154</t>
  </si>
  <si>
    <t>27/06/2025</t>
  </si>
  <si>
    <t>P148</t>
  </si>
  <si>
    <t>ĐINH VĂN HUYNH</t>
  </si>
  <si>
    <t>HNGK155</t>
  </si>
  <si>
    <t>30/06/2025</t>
  </si>
  <si>
    <t>01/07/2025</t>
  </si>
  <si>
    <t>P149</t>
  </si>
  <si>
    <t>VŨ VĂN TỚI</t>
  </si>
  <si>
    <t>HNGK156</t>
  </si>
  <si>
    <t>P150</t>
  </si>
  <si>
    <t>HNGK157</t>
  </si>
  <si>
    <t>02/07/2025</t>
  </si>
  <si>
    <t>P151</t>
  </si>
  <si>
    <t>PHẠM VIẾT TỎA</t>
  </si>
  <si>
    <t>HNGK158</t>
  </si>
  <si>
    <t>P152</t>
  </si>
  <si>
    <t>MAI XUÂN THÔNG</t>
  </si>
  <si>
    <t>T0</t>
  </si>
  <si>
    <t>HNGK159</t>
  </si>
  <si>
    <t>03/07/2025</t>
  </si>
  <si>
    <t>P153</t>
  </si>
  <si>
    <t>DƯƠNG CÔNG VĨNH</t>
  </si>
  <si>
    <t>HNGK160</t>
  </si>
  <si>
    <t>04/07/2025</t>
  </si>
  <si>
    <t>P154</t>
  </si>
  <si>
    <t>ĐINH TÚ LAN</t>
  </si>
  <si>
    <t>HNGK161</t>
  </si>
  <si>
    <t>B8</t>
  </si>
  <si>
    <t>TRẦN THẾ VINH</t>
  </si>
  <si>
    <t>Hình ảnh NS nghi ngờ</t>
  </si>
  <si>
    <t>HNGK162</t>
  </si>
  <si>
    <t>07/07/2025</t>
  </si>
  <si>
    <t>08/07/2025</t>
  </si>
  <si>
    <t>P155</t>
  </si>
  <si>
    <t>PHẠM THỊ LOAN</t>
  </si>
  <si>
    <t>HNGK163</t>
  </si>
  <si>
    <t>P156</t>
  </si>
  <si>
    <t>ĐẶNG VĂN ANH</t>
  </si>
  <si>
    <t>T2N0N0</t>
  </si>
  <si>
    <t>HNGK164</t>
  </si>
  <si>
    <t>09/07/2025</t>
  </si>
  <si>
    <t>P157</t>
  </si>
  <si>
    <t>NGUYỄN XUÂN LINH</t>
  </si>
  <si>
    <t>HNGK165</t>
  </si>
  <si>
    <t>P158</t>
  </si>
  <si>
    <t>PHẠM VĂN ĐẰNG</t>
  </si>
  <si>
    <t>HNGK166</t>
  </si>
  <si>
    <t>P159</t>
  </si>
  <si>
    <t>NGUYỄN THỊ MẾN</t>
  </si>
  <si>
    <t>HNGK167</t>
  </si>
  <si>
    <t>P160</t>
  </si>
  <si>
    <t>NGÔ THÁI AN</t>
  </si>
  <si>
    <t>HNGK168</t>
  </si>
  <si>
    <t>10/07/2025</t>
  </si>
  <si>
    <t>P161</t>
  </si>
  <si>
    <t>VŨ THỊ VÂN</t>
  </si>
  <si>
    <t>HNGK169</t>
  </si>
  <si>
    <t>11/07/2025</t>
  </si>
  <si>
    <t>P162</t>
  </si>
  <si>
    <t>NGUYỄN HỮU HẢI</t>
  </si>
  <si>
    <t>T4aN3aM0→IIIB</t>
  </si>
  <si>
    <t>HNGK170</t>
  </si>
  <si>
    <t>P163</t>
  </si>
  <si>
    <t>TRẦN XUÂN TIẾN</t>
  </si>
  <si>
    <t>TM 50</t>
  </si>
  <si>
    <t>HNGK171</t>
  </si>
  <si>
    <t>P164</t>
  </si>
  <si>
    <t>NGUYỄN ĐÌNH TRÌU</t>
  </si>
  <si>
    <t>HNGK172</t>
  </si>
  <si>
    <t>P165</t>
  </si>
  <si>
    <t>ĐOÀN VĂN PHÁN</t>
  </si>
  <si>
    <t>HNGK173</t>
  </si>
  <si>
    <t>12/07/2025</t>
  </si>
  <si>
    <t>P166</t>
  </si>
  <si>
    <t>NGUYỄN VĂN CƯƠNG</t>
  </si>
  <si>
    <t>HNGK174</t>
  </si>
  <si>
    <t>P167</t>
  </si>
  <si>
    <t>NGUYỄN THỊ NGA</t>
  </si>
  <si>
    <t>HNGK175</t>
  </si>
  <si>
    <t>P168</t>
  </si>
  <si>
    <t>NGUYỄN VĂN ĐẶNG</t>
  </si>
  <si>
    <t>HNGK176</t>
  </si>
  <si>
    <t>P169</t>
  </si>
  <si>
    <t>HNGK177</t>
  </si>
  <si>
    <t>14/07/2025</t>
  </si>
  <si>
    <t>15/07/2025</t>
  </si>
  <si>
    <t>P170</t>
  </si>
  <si>
    <t>PHẠM THỊ DANH</t>
  </si>
  <si>
    <t>HNGK178</t>
  </si>
  <si>
    <t>P171</t>
  </si>
  <si>
    <t>ĐỖ THỊ MỐI</t>
  </si>
  <si>
    <t>HNGK179</t>
  </si>
  <si>
    <t>17/07/2025</t>
  </si>
  <si>
    <t>18/07/2025</t>
  </si>
  <si>
    <t>P172</t>
  </si>
  <si>
    <t>TRẦN XUÂN BÁCH</t>
  </si>
  <si>
    <t>HNGK180</t>
  </si>
  <si>
    <t>P173</t>
  </si>
  <si>
    <t>TẠ VĂN CHÍ</t>
  </si>
  <si>
    <t>HNGK181</t>
  </si>
  <si>
    <t>22/07/2025</t>
  </si>
  <si>
    <t>P174</t>
  </si>
  <si>
    <t>CAO VĂN TÝ</t>
  </si>
  <si>
    <t>HNGK182</t>
  </si>
  <si>
    <t>P175</t>
  </si>
  <si>
    <t>HỒ SỸ THÁI</t>
  </si>
  <si>
    <t>TM 50-100</t>
  </si>
  <si>
    <t>HNGK183</t>
  </si>
  <si>
    <t>23/07/2025</t>
  </si>
  <si>
    <t>24/07/2025</t>
  </si>
  <si>
    <t>P176</t>
  </si>
  <si>
    <t>ĐỖ THỊ LOAN</t>
  </si>
  <si>
    <t>HNGK184</t>
  </si>
  <si>
    <t>25/07/2025</t>
  </si>
  <si>
    <t>P177</t>
  </si>
  <si>
    <t>TRẦN THỊ CÚC</t>
  </si>
  <si>
    <t>HNGK185</t>
  </si>
  <si>
    <t>28/07/2025</t>
  </si>
  <si>
    <t>30/07/2025</t>
  </si>
  <si>
    <t>P178</t>
  </si>
  <si>
    <t>DƯƠNG THỊ SIM</t>
  </si>
  <si>
    <t>HNGK186</t>
  </si>
  <si>
    <t>01/08/2025</t>
  </si>
  <si>
    <t>02/08/2025</t>
  </si>
  <si>
    <t>P179</t>
  </si>
  <si>
    <t>PHÙNG VĂN HIỆP</t>
  </si>
  <si>
    <t>HNGK187</t>
  </si>
  <si>
    <t>07/08/2025</t>
  </si>
  <si>
    <t>08/08/2025</t>
  </si>
  <si>
    <t>P180</t>
  </si>
  <si>
    <t>NGÔ THỊ CHÚNG</t>
  </si>
  <si>
    <t>HNGK188</t>
  </si>
  <si>
    <t>11/08/2025</t>
  </si>
  <si>
    <t>12/08/2025</t>
  </si>
  <si>
    <t>P181</t>
  </si>
  <si>
    <t>TRƯƠNG THỊ KIM OANH</t>
  </si>
  <si>
    <t>HNGK189</t>
  </si>
  <si>
    <t>P182</t>
  </si>
  <si>
    <t>LẠI VĂN CHÍ</t>
  </si>
  <si>
    <t>TM25, có cục mỡ/máu đông</t>
  </si>
  <si>
    <t>HNGK190</t>
  </si>
  <si>
    <t>21/08/2025</t>
  </si>
  <si>
    <t>23/08/2025</t>
  </si>
  <si>
    <t>B9</t>
  </si>
  <si>
    <t>HOÀNG MINH TẾ</t>
  </si>
  <si>
    <t>HNGK191</t>
  </si>
  <si>
    <t>22/08/2025</t>
  </si>
  <si>
    <t>P183</t>
  </si>
  <si>
    <t>TRẦN ĐÌNH HUÂN</t>
  </si>
  <si>
    <t>Giải phẩu bệnh</t>
  </si>
  <si>
    <t>HNGH001</t>
  </si>
  <si>
    <t>06/03/2025</t>
  </si>
  <si>
    <t>C1</t>
  </si>
  <si>
    <t>ĐÀO TRỌNG BẢY</t>
  </si>
  <si>
    <t>Healthy</t>
  </si>
  <si>
    <t>HNGH002</t>
  </si>
  <si>
    <t>C3</t>
  </si>
  <si>
    <t>BÙI THỊ LOAN</t>
  </si>
  <si>
    <t>Mẹ bị K gan --&gt; Loại</t>
  </si>
  <si>
    <t>HNGH003</t>
  </si>
  <si>
    <t>C2</t>
  </si>
  <si>
    <t>NGUYỄN NHƯ MINH</t>
  </si>
  <si>
    <t>HNGH004</t>
  </si>
  <si>
    <t>11/03/2025</t>
  </si>
  <si>
    <t>12/03/2025</t>
  </si>
  <si>
    <t>C4</t>
  </si>
  <si>
    <t>ĐOÀN VĂN HUYỀN</t>
  </si>
  <si>
    <t>cần trả kq</t>
  </si>
  <si>
    <t>HNGH005</t>
  </si>
  <si>
    <t>C5</t>
  </si>
  <si>
    <t>LÊ THỊ HẢI</t>
  </si>
  <si>
    <t>HNGH006</t>
  </si>
  <si>
    <t>10/03/2025</t>
  </si>
  <si>
    <t>C6</t>
  </si>
  <si>
    <t>NGUYỄN BÁ HỢI</t>
  </si>
  <si>
    <t>HBsAg (+), tiêu máu 100</t>
  </si>
  <si>
    <t>HNGH007</t>
  </si>
  <si>
    <t>C7</t>
  </si>
  <si>
    <t>NGUYỄN THỊ TUYẾT</t>
  </si>
  <si>
    <t>HNGH008</t>
  </si>
  <si>
    <t>C8</t>
  </si>
  <si>
    <t>TRẦN DANH HƯNG</t>
  </si>
  <si>
    <t>HP(+)</t>
  </si>
  <si>
    <t>HNGH009</t>
  </si>
  <si>
    <t>C9</t>
  </si>
  <si>
    <t>NGUYỄN ĐÌNH THUẬN</t>
  </si>
  <si>
    <t>HNGH010</t>
  </si>
  <si>
    <t>C10</t>
  </si>
  <si>
    <t>TẠ THỊ KHÁNH LY</t>
  </si>
  <si>
    <t>HNGH011</t>
  </si>
  <si>
    <t>C11</t>
  </si>
  <si>
    <t>HOÀNG VĂN MỪNG</t>
  </si>
  <si>
    <t>HNGH012</t>
  </si>
  <si>
    <t>C12</t>
  </si>
  <si>
    <t>PHẠM DOÃN ĐỨC</t>
  </si>
  <si>
    <t>HNGH013</t>
  </si>
  <si>
    <t>C13</t>
  </si>
  <si>
    <t>ĐINH VĂN LÝ</t>
  </si>
  <si>
    <t>HNGH014</t>
  </si>
  <si>
    <t>C14</t>
  </si>
  <si>
    <t>HOÀNG THỊ THANH NGA</t>
  </si>
  <si>
    <t>HNGH015</t>
  </si>
  <si>
    <t>C15</t>
  </si>
  <si>
    <t>NGUYỄN THANH NGÂN</t>
  </si>
  <si>
    <t>HNGH016</t>
  </si>
  <si>
    <t>C16</t>
  </si>
  <si>
    <t>NGUYỄN THỊ THU HẰNG</t>
  </si>
  <si>
    <t>HNGH017</t>
  </si>
  <si>
    <t>17/03/2025</t>
  </si>
  <si>
    <t>C17</t>
  </si>
  <si>
    <t>ĐỖ THỊ KIM LƯƠNG</t>
  </si>
  <si>
    <t>HNGH018</t>
  </si>
  <si>
    <t>C18</t>
  </si>
  <si>
    <t>NGUYỄN MAI PHƯƠNG</t>
  </si>
  <si>
    <t>HNGH019</t>
  </si>
  <si>
    <t>C19</t>
  </si>
  <si>
    <t>NGÔ THỊ TIỀN</t>
  </si>
  <si>
    <t>HNGH020</t>
  </si>
  <si>
    <t>C20</t>
  </si>
  <si>
    <t>PHAN MỸ HẠNH</t>
  </si>
  <si>
    <t>HNGH021</t>
  </si>
  <si>
    <t>C21</t>
  </si>
  <si>
    <t>TRẦN THỊ HIỀN</t>
  </si>
  <si>
    <t>HNGH022</t>
  </si>
  <si>
    <t>C22</t>
  </si>
  <si>
    <t>LÊ THỊ XUÂN</t>
  </si>
  <si>
    <t>HNGH023</t>
  </si>
  <si>
    <t>C23</t>
  </si>
  <si>
    <t>LỖ VĂN SƠN</t>
  </si>
  <si>
    <t>Hoạt động mạnh, dị sản ruột</t>
  </si>
  <si>
    <t>HNGH024</t>
  </si>
  <si>
    <t>C24</t>
  </si>
  <si>
    <t>ĐỖ QUANG CHIẾN</t>
  </si>
  <si>
    <t>HNGH025</t>
  </si>
  <si>
    <t>C25</t>
  </si>
  <si>
    <t>TRỊNH THỊ KIM OANH</t>
  </si>
  <si>
    <t>NB xin hủy Nội soi DD sau lấy mẫu --&gt; Loại</t>
  </si>
  <si>
    <t>HNGH026</t>
  </si>
  <si>
    <t>C26</t>
  </si>
  <si>
    <t>NGUYỄN VĂN SỸ</t>
  </si>
  <si>
    <t>HNGH027</t>
  </si>
  <si>
    <t>C27</t>
  </si>
  <si>
    <t>VŨ XUÂN NAM</t>
  </si>
  <si>
    <t>HNGH028</t>
  </si>
  <si>
    <t>C28</t>
  </si>
  <si>
    <t>NGUYỄN THỊ SOẠN</t>
  </si>
  <si>
    <t>HNGH029</t>
  </si>
  <si>
    <t>C29</t>
  </si>
  <si>
    <t>LÊ THỊ KHÁNH</t>
  </si>
  <si>
    <t>HNGH030</t>
  </si>
  <si>
    <t>C30</t>
  </si>
  <si>
    <t>ĐÀO THỊ LIÊN</t>
  </si>
  <si>
    <t>HNGH031</t>
  </si>
  <si>
    <t>C31</t>
  </si>
  <si>
    <t>VŨ HỮU KIÊN</t>
  </si>
  <si>
    <t>K biểu mô tuyến</t>
  </si>
  <si>
    <t>HNGH032</t>
  </si>
  <si>
    <t>C32</t>
  </si>
  <si>
    <t>HOÀNG ĐỨC VĂN</t>
  </si>
  <si>
    <t>HNGH033</t>
  </si>
  <si>
    <t>C33</t>
  </si>
  <si>
    <t>HOÀNG THỊ THẢO</t>
  </si>
  <si>
    <t>HNGH034</t>
  </si>
  <si>
    <t>C34</t>
  </si>
  <si>
    <t>PHẠM VĂN QUÝ</t>
  </si>
  <si>
    <t>HBs(+)/Bệnh phổi tắc nghẽn mạnh tính nhóm B/NB xin hủy Nội soi DD sau lấy mẫu --&gt; Loại</t>
  </si>
  <si>
    <t>HNGH035</t>
  </si>
  <si>
    <t>C35</t>
  </si>
  <si>
    <t>ĐINH THỊ TĨNH</t>
  </si>
  <si>
    <t>HNGH036</t>
  </si>
  <si>
    <t>C36</t>
  </si>
  <si>
    <t>NGUYỄN CÔNG SANG</t>
  </si>
  <si>
    <t>HNGH037</t>
  </si>
  <si>
    <t>C37</t>
  </si>
  <si>
    <t>LÊ VĂN TRINH</t>
  </si>
  <si>
    <t>HNGH038</t>
  </si>
  <si>
    <t>C38</t>
  </si>
  <si>
    <t>ĐỖ THỊ BÌNH</t>
  </si>
  <si>
    <t>Anh/Chị bị K</t>
  </si>
  <si>
    <t>HNGH039</t>
  </si>
  <si>
    <t>C39</t>
  </si>
  <si>
    <t>NGUYỄN THỊ NHIÊN</t>
  </si>
  <si>
    <t>Mẹ K dạ dày</t>
  </si>
  <si>
    <t>HNGH040</t>
  </si>
  <si>
    <t>C40</t>
  </si>
  <si>
    <t>ĐÀO THỊ HOA</t>
  </si>
  <si>
    <t>HNGH041</t>
  </si>
  <si>
    <t>C41</t>
  </si>
  <si>
    <t>PHẠM THỊ CÚC</t>
  </si>
  <si>
    <t>HNGH042</t>
  </si>
  <si>
    <t>C42</t>
  </si>
  <si>
    <t>NGUYỄN THỊ KIM</t>
  </si>
  <si>
    <t>HNGH043</t>
  </si>
  <si>
    <t>C43</t>
  </si>
  <si>
    <t>NGUYỄN THANH BÌNH</t>
  </si>
  <si>
    <t>HNGH044</t>
  </si>
  <si>
    <t>C44</t>
  </si>
  <si>
    <t>CAO VĂN THÀNH</t>
  </si>
  <si>
    <t>HNGH045</t>
  </si>
  <si>
    <t>C45</t>
  </si>
  <si>
    <t>ĐÔNG VĂN CHUNG</t>
  </si>
  <si>
    <t>HNGH046</t>
  </si>
  <si>
    <t>C46</t>
  </si>
  <si>
    <t>CHU KIM THÚY</t>
  </si>
  <si>
    <t>HNGH047</t>
  </si>
  <si>
    <t>C47</t>
  </si>
  <si>
    <t>NGUYỄN VĂN LỄ</t>
  </si>
  <si>
    <t>HNGH048</t>
  </si>
  <si>
    <t>C48</t>
  </si>
  <si>
    <t>NGUYỄN THỊ UYÊN</t>
  </si>
  <si>
    <t>HNGH049</t>
  </si>
  <si>
    <t>C49</t>
  </si>
  <si>
    <t>NGUYỄN ANH THUÂN</t>
  </si>
  <si>
    <t>HNGH050</t>
  </si>
  <si>
    <t>C50</t>
  </si>
  <si>
    <t>PHẠM HỮU TIẾN</t>
  </si>
  <si>
    <t>HNGH051</t>
  </si>
  <si>
    <t>C51</t>
  </si>
  <si>
    <t>NGUYỄN THỊ LUYẾN</t>
  </si>
  <si>
    <t>HNGH052</t>
  </si>
  <si>
    <t>C52</t>
  </si>
  <si>
    <t>NGUYỄN NGỌC HỒ</t>
  </si>
  <si>
    <t>HNGH053</t>
  </si>
  <si>
    <t>C53</t>
  </si>
  <si>
    <t>ĐINH THỊ XUYÊN</t>
  </si>
  <si>
    <t>HNGH054</t>
  </si>
  <si>
    <t>C54</t>
  </si>
  <si>
    <t>PHẠM ĐÌNH XUẤT</t>
  </si>
  <si>
    <t>HNGH055</t>
  </si>
  <si>
    <t>C55</t>
  </si>
  <si>
    <t>NGUYỄN VĂN ĐIỀN</t>
  </si>
  <si>
    <t>HNGH056</t>
  </si>
  <si>
    <t>C56</t>
  </si>
  <si>
    <t>LƯU THỊ THANH</t>
  </si>
  <si>
    <t>HNGH057</t>
  </si>
  <si>
    <t>C57</t>
  </si>
  <si>
    <t>BÙI THỊ CHẮT</t>
  </si>
  <si>
    <t>HNGH058</t>
  </si>
  <si>
    <t>C58</t>
  </si>
  <si>
    <t>NÔNG THỊ HIỆP</t>
  </si>
  <si>
    <t>TM75</t>
  </si>
  <si>
    <t>HNGH059</t>
  </si>
  <si>
    <t>C59</t>
  </si>
  <si>
    <t>NGUYỄN VĂN CƯỜNG</t>
  </si>
  <si>
    <t>HNGH060</t>
  </si>
  <si>
    <t>P61</t>
  </si>
  <si>
    <t>TRẦN VĂN KHƯƠNG</t>
  </si>
  <si>
    <t>HNGH061</t>
  </si>
  <si>
    <t>PHẠM VĂN TRIẾT</t>
  </si>
  <si>
    <t>Hủy mẫu do máu đông</t>
  </si>
  <si>
    <t>HNGH062</t>
  </si>
  <si>
    <t>C60</t>
  </si>
  <si>
    <t>NGUYỄN VĂN THẮNG</t>
  </si>
  <si>
    <t>TM25</t>
  </si>
  <si>
    <t>HNGH063</t>
  </si>
  <si>
    <t>C61</t>
  </si>
  <si>
    <t>CAO VĂN MẠNH</t>
  </si>
  <si>
    <t>Liver</t>
  </si>
  <si>
    <t>Phát hiện K gan</t>
  </si>
  <si>
    <t>HNGH064</t>
  </si>
  <si>
    <t>C62</t>
  </si>
  <si>
    <t>NGUYỄN VĂN THƯỜNG</t>
  </si>
  <si>
    <t>HNGH065</t>
  </si>
  <si>
    <t>C63</t>
  </si>
  <si>
    <t>DƯƠNG THỊ LŨY</t>
  </si>
  <si>
    <t>HNGH066</t>
  </si>
  <si>
    <t>C64</t>
  </si>
  <si>
    <t>PHẠM NGỌC TÚ</t>
  </si>
  <si>
    <t>HNGH067</t>
  </si>
  <si>
    <t>C65</t>
  </si>
  <si>
    <t>ĐẶNG THỊ THOAN</t>
  </si>
  <si>
    <t>HNGH068</t>
  </si>
  <si>
    <t>C66</t>
  </si>
  <si>
    <t>VÕ MINH THIỆN</t>
  </si>
  <si>
    <t>HNGH069</t>
  </si>
  <si>
    <t>C67</t>
  </si>
  <si>
    <t>ĐỖ QUANG ÁNH</t>
  </si>
  <si>
    <t>HNGH070</t>
  </si>
  <si>
    <t>C68</t>
  </si>
  <si>
    <t>PHẠM ĐỨC ÂN</t>
  </si>
  <si>
    <t>HNGH071</t>
  </si>
  <si>
    <t>C69</t>
  </si>
  <si>
    <t>PHẠM THỊ THU</t>
  </si>
  <si>
    <t>HNGH072</t>
  </si>
  <si>
    <t>C70</t>
  </si>
  <si>
    <t>NGUYỄN VĂN CHIẾN</t>
  </si>
  <si>
    <t>HNGH073</t>
  </si>
  <si>
    <t>12/04/2025</t>
  </si>
  <si>
    <t>C71</t>
  </si>
  <si>
    <t>TRẦN THỊ VIẾT</t>
  </si>
  <si>
    <t>HNGH074</t>
  </si>
  <si>
    <t>C72</t>
  </si>
  <si>
    <t>HÀ THỊ BÌNH</t>
  </si>
  <si>
    <t>HNGH075</t>
  </si>
  <si>
    <t>C73</t>
  </si>
  <si>
    <t xml:space="preserve">TRẦN THỊ DUYẾN </t>
  </si>
  <si>
    <t>HNGH076</t>
  </si>
  <si>
    <t>23/04/2025</t>
  </si>
  <si>
    <t>C74</t>
  </si>
  <si>
    <t xml:space="preserve">NGUYỄN MINH LẠC </t>
  </si>
  <si>
    <t>4.5</t>
  </si>
  <si>
    <t>V mẫu &lt; 10mL (~8mL)</t>
  </si>
  <si>
    <t>HNGH077</t>
  </si>
  <si>
    <t>C75</t>
  </si>
  <si>
    <t xml:space="preserve">VŨ VĂN NGƯ </t>
  </si>
  <si>
    <t>HNGH078</t>
  </si>
  <si>
    <t>C76</t>
  </si>
  <si>
    <t xml:space="preserve">NGUYỄN HỮU HẠNH </t>
  </si>
  <si>
    <t>TM50 , V mẫu &lt; 10 mL (~ 6mL)</t>
  </si>
  <si>
    <t>HNGH079</t>
  </si>
  <si>
    <t>C77</t>
  </si>
  <si>
    <t>HNGH080</t>
  </si>
  <si>
    <t>C78</t>
  </si>
  <si>
    <t>Hoàng Thị Kim Liên</t>
  </si>
  <si>
    <t>HNGH081</t>
  </si>
  <si>
    <t>C79</t>
  </si>
  <si>
    <t xml:space="preserve">TRẦN THỊ NGOAN </t>
  </si>
  <si>
    <t>HNGH082</t>
  </si>
  <si>
    <t>C80</t>
  </si>
  <si>
    <t>NGUYỄN THỊ LIÊN</t>
  </si>
  <si>
    <t>HNGH083</t>
  </si>
  <si>
    <t>28/06/2025</t>
  </si>
  <si>
    <t>C81</t>
  </si>
  <si>
    <t>NGUYỄN CHÍNH ỦY</t>
  </si>
  <si>
    <t>HNGH084</t>
  </si>
  <si>
    <t>C82</t>
  </si>
  <si>
    <t xml:space="preserve">NGUYỄN THỊ TƯỜNG </t>
  </si>
  <si>
    <t>có máu lơ lửng</t>
  </si>
  <si>
    <t>HNGH085</t>
  </si>
  <si>
    <t>C83</t>
  </si>
  <si>
    <t xml:space="preserve">BÙI VIỆT CƯỜNG </t>
  </si>
  <si>
    <t>HNGH086</t>
  </si>
  <si>
    <t>C84</t>
  </si>
  <si>
    <t xml:space="preserve">NGUYỄN THỊ KHUYÊN </t>
  </si>
  <si>
    <t>HNGH087</t>
  </si>
  <si>
    <t>C85</t>
  </si>
  <si>
    <t xml:space="preserve">NÔNG VĂN BẢO </t>
  </si>
  <si>
    <t>HNGH088</t>
  </si>
  <si>
    <t>C86</t>
  </si>
  <si>
    <t xml:space="preserve">NGUYỄN THỊ NHỊ </t>
  </si>
  <si>
    <t>HNGH089</t>
  </si>
  <si>
    <t>C87</t>
  </si>
  <si>
    <t xml:space="preserve">NGUYỄN THỊ THUẬN </t>
  </si>
  <si>
    <t>HNGH090</t>
  </si>
  <si>
    <t>C88</t>
  </si>
  <si>
    <t xml:space="preserve">CAO THỊ THU HÀ </t>
  </si>
  <si>
    <t>HNGH091</t>
  </si>
  <si>
    <t>C89</t>
  </si>
  <si>
    <t>HOÀNG THỊ BẰNG</t>
  </si>
  <si>
    <t>HNGH092</t>
  </si>
  <si>
    <t>C90</t>
  </si>
  <si>
    <t xml:space="preserve">ĐÀO ĐẶNG KINH </t>
  </si>
  <si>
    <t>HNGH093</t>
  </si>
  <si>
    <t>C91</t>
  </si>
  <si>
    <t xml:space="preserve">VŨ ĐÌNH NGUYỆT </t>
  </si>
  <si>
    <t>HNGH094</t>
  </si>
  <si>
    <t>C92</t>
  </si>
  <si>
    <t>LÊ XUÂN SÁU</t>
  </si>
  <si>
    <t>Thu máu không đúng cách</t>
  </si>
  <si>
    <t>HNGH095</t>
  </si>
  <si>
    <t>05/07/2025</t>
  </si>
  <si>
    <t>C93</t>
  </si>
  <si>
    <t xml:space="preserve">BÙI THỊ LÝ </t>
  </si>
  <si>
    <t>HNGH096</t>
  </si>
  <si>
    <t>C94</t>
  </si>
  <si>
    <t xml:space="preserve">LÊ THỊ LAN ANH </t>
  </si>
  <si>
    <t>CGT, TM 50</t>
  </si>
  <si>
    <t>HNGH097</t>
  </si>
  <si>
    <t>C95</t>
  </si>
  <si>
    <t xml:space="preserve">NGÔ ĐÌNH CƯỜNG </t>
  </si>
  <si>
    <t>HNGH098</t>
  </si>
  <si>
    <t>C96</t>
  </si>
  <si>
    <t xml:space="preserve">LƯƠNG DANH DƯƠNG </t>
  </si>
  <si>
    <t>HNGH099</t>
  </si>
  <si>
    <t>C97</t>
  </si>
  <si>
    <t xml:space="preserve">ĐỖ VIẾT CƯỜNG </t>
  </si>
  <si>
    <t>TM 25</t>
  </si>
  <si>
    <t>HNGH100</t>
  </si>
  <si>
    <t>C98</t>
  </si>
  <si>
    <t xml:space="preserve">LÊ THỊ THUYỀN </t>
  </si>
  <si>
    <t>HNGH101</t>
  </si>
  <si>
    <t>C99</t>
  </si>
  <si>
    <t xml:space="preserve">NGUYỄN THỊ NHUẦN </t>
  </si>
  <si>
    <t>HNGH102</t>
  </si>
  <si>
    <t>16/07/2025</t>
  </si>
  <si>
    <t>C100</t>
  </si>
  <si>
    <t xml:space="preserve">DƯƠNG VĂN TOAN </t>
  </si>
  <si>
    <t>HNGH103</t>
  </si>
  <si>
    <t>C101</t>
  </si>
  <si>
    <t xml:space="preserve">THÂN VĂN BÌNH </t>
  </si>
  <si>
    <t>XN → Men gan tăng 
Nội soi → Di sản mạch dạ dày</t>
  </si>
  <si>
    <t>HNGH104</t>
  </si>
  <si>
    <t>C102</t>
  </si>
  <si>
    <t xml:space="preserve">NGUYỄN THỊ HẢI </t>
  </si>
  <si>
    <t>HNGH105</t>
  </si>
  <si>
    <t>C103</t>
  </si>
  <si>
    <t xml:space="preserve">NGUYỄN ĐÌNH MINH </t>
  </si>
  <si>
    <t>HNGH106</t>
  </si>
  <si>
    <t>C104</t>
  </si>
  <si>
    <t xml:space="preserve">Nguyễn Thị Hợi </t>
  </si>
  <si>
    <t xml:space="preserve">Nữ </t>
  </si>
  <si>
    <t>HNGH107</t>
  </si>
  <si>
    <t>C105</t>
  </si>
  <si>
    <t xml:space="preserve">Phạm Tiến Vương </t>
  </si>
  <si>
    <t xml:space="preserve">Nam </t>
  </si>
  <si>
    <t>HNGH108</t>
  </si>
  <si>
    <t>C106</t>
  </si>
  <si>
    <t xml:space="preserve">Trần Văn Sơn </t>
  </si>
  <si>
    <t>HNGH109</t>
  </si>
  <si>
    <t>21/07/2025</t>
  </si>
  <si>
    <t>C107</t>
  </si>
  <si>
    <t xml:space="preserve">Nguyễn Văn Lĩnh </t>
  </si>
  <si>
    <t>HNGH110</t>
  </si>
  <si>
    <t>C108</t>
  </si>
  <si>
    <t>Đặng Quốc Hiền</t>
  </si>
  <si>
    <t>HNGH111</t>
  </si>
  <si>
    <t>C109</t>
  </si>
  <si>
    <t xml:space="preserve">Nguyễn Văn Thu </t>
  </si>
  <si>
    <t>HNGH112</t>
  </si>
  <si>
    <t>C110</t>
  </si>
  <si>
    <t xml:space="preserve">Nguyễn Thị Thư </t>
  </si>
  <si>
    <t>HNGH113</t>
  </si>
  <si>
    <t>C111</t>
  </si>
  <si>
    <t>HNGH114</t>
  </si>
  <si>
    <t>26/07/2025</t>
  </si>
  <si>
    <t>C112</t>
  </si>
  <si>
    <t xml:space="preserve">Kiều Thị Cầm </t>
  </si>
  <si>
    <t>HNGH115</t>
  </si>
  <si>
    <t>C113</t>
  </si>
  <si>
    <t>Phạm Đình Cung</t>
  </si>
  <si>
    <t>HNGH116</t>
  </si>
  <si>
    <t>C114</t>
  </si>
  <si>
    <t>Hà Thị Thời</t>
  </si>
  <si>
    <t>HNGH117</t>
  </si>
  <si>
    <t>C115</t>
  </si>
  <si>
    <t>Nguyễn Thị Thơm</t>
  </si>
  <si>
    <t>HNGH118</t>
  </si>
  <si>
    <t>C116</t>
  </si>
  <si>
    <t>Nguyễn Thị Giới</t>
  </si>
  <si>
    <t>HNGH119</t>
  </si>
  <si>
    <t>C117</t>
  </si>
  <si>
    <t xml:space="preserve">Nguyễn Thị Hải </t>
  </si>
  <si>
    <t>HNGH120</t>
  </si>
  <si>
    <t>C118</t>
  </si>
  <si>
    <t xml:space="preserve">Cù Xuân LUận </t>
  </si>
  <si>
    <t>HNGH121</t>
  </si>
  <si>
    <t>C119</t>
  </si>
  <si>
    <t xml:space="preserve">TRẦN ĐÌNH ĐẠO </t>
  </si>
  <si>
    <t>HNGH122</t>
  </si>
  <si>
    <t>C120</t>
  </si>
  <si>
    <t xml:space="preserve">VÕ VĂN GIANG </t>
  </si>
  <si>
    <t>HNGH123</t>
  </si>
  <si>
    <t>29/07/2025</t>
  </si>
  <si>
    <t>C121</t>
  </si>
  <si>
    <t xml:space="preserve">PHẠM VĂN TƯỜNG </t>
  </si>
  <si>
    <t>HNGH124</t>
  </si>
  <si>
    <t>31/07/2025</t>
  </si>
  <si>
    <t>C122</t>
  </si>
  <si>
    <t>LÊ VĂN TÂM</t>
  </si>
  <si>
    <t>HNGH125</t>
  </si>
  <si>
    <t>06/08/2025</t>
  </si>
  <si>
    <t>C123</t>
  </si>
  <si>
    <t>ĐOÀN VĂN LỢI</t>
  </si>
  <si>
    <t>HNGH126</t>
  </si>
  <si>
    <t>C124</t>
  </si>
  <si>
    <t xml:space="preserve">Ngô Văn Đông </t>
  </si>
  <si>
    <t>HNGH127</t>
  </si>
  <si>
    <t>C125</t>
  </si>
  <si>
    <t xml:space="preserve">Lê Văn Long </t>
  </si>
  <si>
    <t>HNGH128</t>
  </si>
  <si>
    <t>C126</t>
  </si>
  <si>
    <t xml:space="preserve">Nguyễn Trung Xuân </t>
  </si>
  <si>
    <t>HNGH129</t>
  </si>
  <si>
    <t>13/08/2025</t>
  </si>
  <si>
    <t>C127</t>
  </si>
  <si>
    <t xml:space="preserve">Lương Văn Dũng </t>
  </si>
  <si>
    <t>HNGH130</t>
  </si>
  <si>
    <t>C128</t>
  </si>
  <si>
    <t xml:space="preserve">Đỗ Xuân  Lực </t>
  </si>
  <si>
    <t>HNGH131</t>
  </si>
  <si>
    <t>14/08/2025</t>
  </si>
  <si>
    <t>C129</t>
  </si>
  <si>
    <t xml:space="preserve">Nguyễn Văn Lễ </t>
  </si>
  <si>
    <t>HNGH132</t>
  </si>
  <si>
    <t>19/08/2025</t>
  </si>
  <si>
    <t>20/08/2025</t>
  </si>
  <si>
    <t>C130</t>
  </si>
  <si>
    <t xml:space="preserve">Nguyễn Hữu Dũng </t>
  </si>
  <si>
    <t xml:space="preserve">nam </t>
  </si>
  <si>
    <t>HNGH133</t>
  </si>
  <si>
    <t>C132</t>
  </si>
  <si>
    <t>Nguyễn Đức Thắng</t>
  </si>
  <si>
    <t>HNGH134</t>
  </si>
  <si>
    <t>C133</t>
  </si>
  <si>
    <t xml:space="preserve">Vi Văn Nam </t>
  </si>
  <si>
    <t>HNGH135</t>
  </si>
  <si>
    <t>C134</t>
  </si>
  <si>
    <t xml:space="preserve">Nguyễn Thị Kiên </t>
  </si>
  <si>
    <t>LUNG69R2</t>
  </si>
  <si>
    <t>LUNG STD</t>
  </si>
  <si>
    <t>CONTROL165</t>
  </si>
  <si>
    <t>CONTROL</t>
  </si>
  <si>
    <t>K7JAAA04</t>
  </si>
  <si>
    <t>Lung Lee Soo Chin</t>
  </si>
  <si>
    <t>KSKAAA52</t>
  </si>
  <si>
    <t>Lung Dr Anand</t>
  </si>
  <si>
    <t>Gastric Dr Dung</t>
  </si>
  <si>
    <t>CONTROL165R1</t>
  </si>
  <si>
    <t>KSGAAD13</t>
  </si>
  <si>
    <t>Commercial</t>
  </si>
  <si>
    <t>KSKAAA51</t>
  </si>
  <si>
    <t>KSNAAA33</t>
  </si>
  <si>
    <t>KSGAAA24</t>
  </si>
  <si>
    <t>KSGAAA45</t>
  </si>
  <si>
    <t>KSAAAC24</t>
  </si>
  <si>
    <t>LUNG69R3</t>
  </si>
  <si>
    <t>LUNG69R4</t>
  </si>
  <si>
    <t>LUNG69R5</t>
  </si>
  <si>
    <t>LAAP99R1</t>
  </si>
  <si>
    <t>Lung</t>
  </si>
  <si>
    <t>LAAQ01R1</t>
  </si>
  <si>
    <t>LUNG69R6</t>
  </si>
  <si>
    <t>CONTROL165R2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</si>
</sst>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theme="1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9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14" fontId="3" fillId="0" borderId="5" xfId="0" quotePrefix="1" applyNumberFormat="1" applyFont="1" applyBorder="1" applyAlignment="1">
      <alignment horizontal="center" vertical="center"/>
    </xf>
    <xf numFmtId="14" fontId="3" fillId="0" borderId="6" xfId="0" quotePrefix="1" applyNumberFormat="1" applyFont="1" applyBorder="1" applyAlignment="1">
      <alignment horizontal="center" vertical="center"/>
    </xf>
    <xf numFmtId="14" fontId="3" fillId="0" borderId="2" xfId="0" quotePrefix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8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3" fillId="2" borderId="6" xfId="0" quotePrefix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4" fontId="3" fillId="3" borderId="5" xfId="0" quotePrefix="1" applyNumberFormat="1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2" xfId="0" quotePrefix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6" xfId="0" quotePrefix="1" applyNumberFormat="1" applyFont="1" applyFill="1" applyBorder="1" applyAlignment="1">
      <alignment horizontal="center" vertical="center"/>
    </xf>
    <xf numFmtId="14" fontId="3" fillId="4" borderId="1" xfId="0" quotePrefix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" xfId="0" quotePrefix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3" fillId="4" borderId="5" xfId="0" quotePrefix="1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4" fontId="3" fillId="4" borderId="2" xfId="0" quotePrefix="1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4" fontId="3" fillId="4" borderId="8" xfId="0" quotePrefix="1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3" fillId="4" borderId="6" xfId="0" quotePrefix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14" fontId="3" fillId="4" borderId="14" xfId="0" quotePrefix="1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3" fillId="5" borderId="1" xfId="0" quotePrefix="1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1" xfId="0" quotePrefix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14" fontId="3" fillId="5" borderId="2" xfId="0" quotePrefix="1" applyNumberFormat="1" applyFont="1" applyFill="1" applyBorder="1" applyAlignment="1">
      <alignment horizontal="center" vertical="center"/>
    </xf>
    <xf numFmtId="14" fontId="3" fillId="5" borderId="5" xfId="0" quotePrefix="1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4" fontId="3" fillId="8" borderId="2" xfId="0" quotePrefix="1" applyNumberFormat="1" applyFont="1" applyFill="1" applyBorder="1" applyAlignment="1">
      <alignment horizontal="center" vertical="center"/>
    </xf>
    <xf numFmtId="14" fontId="3" fillId="8" borderId="5" xfId="0" quotePrefix="1" applyNumberFormat="1" applyFont="1" applyFill="1" applyBorder="1" applyAlignment="1">
      <alignment horizontal="center" vertical="center"/>
    </xf>
    <xf numFmtId="14" fontId="3" fillId="8" borderId="1" xfId="0" quotePrefix="1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4" fontId="3" fillId="8" borderId="6" xfId="0" quotePrefix="1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2" xfId="0" quotePrefix="1" applyNumberFormat="1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quotePrefix="1" applyFont="1" applyFill="1" applyBorder="1" applyAlignment="1">
      <alignment horizontal="center" vertical="center"/>
    </xf>
    <xf numFmtId="14" fontId="3" fillId="9" borderId="1" xfId="0" quotePrefix="1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4" fontId="3" fillId="7" borderId="1" xfId="0" quotePrefix="1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4" fontId="3" fillId="7" borderId="2" xfId="0" quotePrefix="1" applyNumberFormat="1" applyFont="1" applyFill="1" applyBorder="1" applyAlignment="1">
      <alignment horizontal="center" vertical="center"/>
    </xf>
    <xf numFmtId="0" fontId="3" fillId="8" borderId="2" xfId="0" quotePrefix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3" fillId="8" borderId="1" xfId="0" quotePrefix="1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/>
    </xf>
    <xf numFmtId="0" fontId="3" fillId="9" borderId="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quotePrefix="1" applyFont="1" applyFill="1" applyBorder="1" applyAlignment="1">
      <alignment horizontal="center" vertical="center"/>
    </xf>
    <xf numFmtId="14" fontId="3" fillId="10" borderId="1" xfId="0" quotePrefix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6" fontId="0" fillId="0" borderId="0" xfId="0" applyNumberFormat="1"/>
    <xf numFmtId="0" fontId="8" fillId="0" borderId="1" xfId="0" applyFont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0" fontId="3" fillId="9" borderId="6" xfId="0" quotePrefix="1" applyFont="1" applyFill="1" applyBorder="1" applyAlignment="1">
      <alignment horizontal="center" vertical="center"/>
    </xf>
    <xf numFmtId="0" fontId="3" fillId="9" borderId="2" xfId="0" quotePrefix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8" borderId="4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Bình thường" xfId="0" builtinId="0"/>
    <cellStyle name="Hyperlink" xfId="1" xr:uid="{00000000-000B-0000-0000-00000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O TRUONG DANG HUY" id="{446998B6-14DF-4CB7-A6BE-88E29FC0A414}" userId="huyvo@genesolutions.vn" providerId="PeoplePicker"/>
  <person displayName="NGUYEN VAN THIEN CHI" id="{DB2DCE65-BCDE-4E72-924D-99E6E1C58C03}" userId="chinguyen@genesolutions.vn" providerId="PeoplePicker"/>
  <person displayName="TRAN THI TRANG" id="{25E9C076-BF85-4A62-A8B5-25F4B79A4EC5}" userId="trangtran2@genesolutions.vn" providerId="PeoplePicker"/>
  <person displayName="VO DAC HO" id="{168671B3-224E-4E20-AB47-DD7B20914758}" userId="S::hovo@genesolutions.vn::52f49ffe-ac9c-4553-82c8-1694e7de86da" providerId="AD"/>
  <person displayName="DAM THI MY HUYEN" id="{A29A391B-4937-434C-A932-887436AB025C}" userId="S::huyendam@genesolutions.vn::85b9ade9-849e-4e4e-9144-3869ec21919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10-13T15:38:26.09" personId="{168671B3-224E-4E20-AB47-DD7B20914758}" id="{36EBFC15-0B97-40E5-B7DD-21EF945088B3}">
    <text>@NGUYEN VAN THIEN CHI @TRAN THI TRANG @VO TRUONG DANG HUY Gửi mọi người file quản lý mẫu ung thư dạ dày bác sĩ Dung, đại học y Hà Nội.</text>
    <mentions>
      <mention mentionpersonId="{DB2DCE65-BCDE-4E72-924D-99E6E1C58C03}" mentionId="{57F27128-9F0E-4024-A95F-0A440E33632E}" startIndex="0" length="21"/>
      <mention mentionpersonId="{25E9C076-BF85-4A62-A8B5-25F4B79A4EC5}" mentionId="{3A2E10C4-0C16-4BD3-A8B1-76AA49E8BEEE}" startIndex="22" length="15"/>
      <mention mentionpersonId="{446998B6-14DF-4CB7-A6BE-88E29FC0A414}" mentionId="{786A3DBD-C524-4207-AC4F-587895DC7A29}" startIndex="38" length="19"/>
    </mentions>
  </threadedComment>
  <threadedComment ref="K100" dT="2025-05-09T09:40:14.03" personId="{A29A391B-4937-434C-A932-887436AB025C}" id="{34FF9781-DD42-9A48-A076-FADE82BA2D88}">
    <text xml:space="preserve">có cục máu đông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NL7nC96f90uNMKbf-Ps6YFaXbIP6V2Tgs1NXlk_JFB8/edit?gid=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403F-26C6-49DC-B3F1-DDBAEABF7996}">
  <dimension ref="A1:G3"/>
  <sheetViews>
    <sheetView workbookViewId="0">
      <selection activeCell="A22" sqref="A22"/>
    </sheetView>
  </sheetViews>
  <sheetFormatPr defaultRowHeight="13.5"/>
  <cols>
    <col min="1" max="1" width="103" customWidth="1"/>
    <col min="6" max="6" width="31.25" customWidth="1"/>
    <col min="7" max="7" width="21.125" customWidth="1"/>
  </cols>
  <sheetData>
    <row r="1" spans="1:7">
      <c r="A1" s="1" t="s">
        <v>0</v>
      </c>
      <c r="B1" s="149">
        <v>45754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C2" t="s">
        <v>6</v>
      </c>
      <c r="D2">
        <v>159</v>
      </c>
      <c r="G2">
        <v>24</v>
      </c>
    </row>
    <row r="3" spans="1:7">
      <c r="C3" t="s">
        <v>7</v>
      </c>
      <c r="D3">
        <v>92</v>
      </c>
      <c r="E3">
        <v>1</v>
      </c>
      <c r="F3">
        <v>5</v>
      </c>
    </row>
  </sheetData>
  <hyperlinks>
    <hyperlink ref="A1" r:id="rId1" location="gid=0" xr:uid="{6A5FE549-2043-4ED9-ADEA-1C0693A38E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92"/>
  <sheetViews>
    <sheetView tabSelected="1" workbookViewId="0">
      <pane xSplit="7" ySplit="1" topLeftCell="H173" activePane="bottomRight" state="frozen"/>
      <selection pane="bottomRight" activeCell="D192" sqref="D186:D192"/>
      <selection pane="bottomLeft"/>
      <selection pane="topRight"/>
    </sheetView>
  </sheetViews>
  <sheetFormatPr defaultColWidth="9.375" defaultRowHeight="15"/>
  <cols>
    <col min="1" max="1" width="6.125" style="6" customWidth="1"/>
    <col min="2" max="2" width="9.625" style="6" customWidth="1"/>
    <col min="3" max="4" width="12.625" style="6" customWidth="1"/>
    <col min="5" max="5" width="9.5" style="6" customWidth="1"/>
    <col min="6" max="6" width="7.875" style="6" customWidth="1"/>
    <col min="7" max="7" width="17.875" style="6" customWidth="1"/>
    <col min="8" max="8" width="14.125" style="6" customWidth="1"/>
    <col min="9" max="9" width="13.25" style="6" customWidth="1"/>
    <col min="10" max="10" width="12.125" style="6" bestFit="1" customWidth="1"/>
    <col min="11" max="11" width="9.375" style="6"/>
    <col min="12" max="12" width="23" style="6" customWidth="1"/>
    <col min="13" max="13" width="18.875" style="81" customWidth="1"/>
    <col min="14" max="14" width="16.875" style="6" customWidth="1"/>
    <col min="15" max="15" width="17.25" style="6" customWidth="1"/>
    <col min="16" max="16" width="19.625" style="6" customWidth="1"/>
    <col min="17" max="19" width="9.375" style="6"/>
    <col min="20" max="20" width="41.375" style="6" customWidth="1"/>
    <col min="21" max="16384" width="9.375" style="6"/>
  </cols>
  <sheetData>
    <row r="1" spans="1:20" s="23" customFormat="1" ht="30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71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</row>
    <row r="2" spans="1:20" ht="76.5">
      <c r="A2" s="95">
        <v>1</v>
      </c>
      <c r="B2" s="95" t="s">
        <v>28</v>
      </c>
      <c r="C2" s="95" t="s">
        <v>29</v>
      </c>
      <c r="D2" s="95" t="s">
        <v>30</v>
      </c>
      <c r="E2" s="95" t="s">
        <v>31</v>
      </c>
      <c r="F2" s="95" t="s">
        <v>32</v>
      </c>
      <c r="G2" s="95" t="s">
        <v>33</v>
      </c>
      <c r="H2" s="95" t="s">
        <v>34</v>
      </c>
      <c r="I2" s="95">
        <f>2024-J2</f>
        <v>1953</v>
      </c>
      <c r="J2" s="95">
        <v>71</v>
      </c>
      <c r="K2" s="95">
        <v>3</v>
      </c>
      <c r="L2" s="122" t="s">
        <v>35</v>
      </c>
      <c r="M2" s="123" t="s">
        <v>36</v>
      </c>
      <c r="N2" s="95" t="s">
        <v>37</v>
      </c>
      <c r="O2" s="95" t="s">
        <v>38</v>
      </c>
      <c r="P2" s="95"/>
      <c r="Q2" s="95"/>
      <c r="R2" s="95"/>
      <c r="S2" s="95"/>
      <c r="T2" s="95" t="s">
        <v>39</v>
      </c>
    </row>
    <row r="3" spans="1:20">
      <c r="A3" s="3">
        <v>2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32</v>
      </c>
      <c r="G3" s="3" t="s">
        <v>44</v>
      </c>
      <c r="H3" s="3" t="s">
        <v>45</v>
      </c>
      <c r="I3" s="3">
        <f t="shared" ref="I3:I21" si="0">2024-J3</f>
        <v>1958</v>
      </c>
      <c r="J3" s="3">
        <v>66</v>
      </c>
      <c r="K3" s="3">
        <v>4.7</v>
      </c>
      <c r="L3" s="3" t="s">
        <v>46</v>
      </c>
      <c r="M3" s="72" t="s">
        <v>47</v>
      </c>
      <c r="N3" s="3" t="s">
        <v>48</v>
      </c>
      <c r="O3" s="3" t="s">
        <v>49</v>
      </c>
      <c r="P3" s="3"/>
      <c r="Q3" s="3"/>
      <c r="R3" s="3"/>
      <c r="S3" s="3"/>
      <c r="T3" s="3"/>
    </row>
    <row r="4" spans="1:20">
      <c r="A4" s="3">
        <v>3</v>
      </c>
      <c r="B4" s="3" t="s">
        <v>50</v>
      </c>
      <c r="C4" s="3" t="s">
        <v>41</v>
      </c>
      <c r="D4" s="3" t="s">
        <v>42</v>
      </c>
      <c r="E4" s="3" t="s">
        <v>51</v>
      </c>
      <c r="F4" s="3" t="s">
        <v>32</v>
      </c>
      <c r="G4" s="3" t="s">
        <v>52</v>
      </c>
      <c r="H4" s="3" t="s">
        <v>45</v>
      </c>
      <c r="I4" s="3">
        <f t="shared" si="0"/>
        <v>1952</v>
      </c>
      <c r="J4" s="3">
        <v>72</v>
      </c>
      <c r="K4" s="3">
        <v>4</v>
      </c>
      <c r="L4" s="3" t="s">
        <v>53</v>
      </c>
      <c r="M4" s="73" t="s">
        <v>54</v>
      </c>
      <c r="N4" s="3" t="s">
        <v>48</v>
      </c>
      <c r="O4" s="3" t="s">
        <v>55</v>
      </c>
      <c r="P4" s="3"/>
      <c r="Q4" s="3"/>
      <c r="R4" s="3"/>
      <c r="S4" s="3"/>
      <c r="T4" s="3"/>
    </row>
    <row r="5" spans="1:20">
      <c r="A5" s="3">
        <v>4</v>
      </c>
      <c r="B5" s="3" t="s">
        <v>56</v>
      </c>
      <c r="C5" s="3" t="s">
        <v>42</v>
      </c>
      <c r="D5" s="3" t="s">
        <v>57</v>
      </c>
      <c r="E5" s="3" t="s">
        <v>58</v>
      </c>
      <c r="F5" s="3" t="s">
        <v>32</v>
      </c>
      <c r="G5" s="3" t="s">
        <v>59</v>
      </c>
      <c r="H5" s="3" t="s">
        <v>45</v>
      </c>
      <c r="I5" s="3">
        <f t="shared" si="0"/>
        <v>1955</v>
      </c>
      <c r="J5" s="3">
        <v>69</v>
      </c>
      <c r="K5" s="3">
        <v>4.5</v>
      </c>
      <c r="L5" s="3" t="s">
        <v>60</v>
      </c>
      <c r="M5" s="73" t="s">
        <v>61</v>
      </c>
      <c r="N5" s="3" t="s">
        <v>48</v>
      </c>
      <c r="O5" s="3" t="s">
        <v>62</v>
      </c>
      <c r="P5" s="3"/>
      <c r="Q5" s="3"/>
      <c r="R5" s="3"/>
      <c r="S5" s="3"/>
      <c r="T5" s="3"/>
    </row>
    <row r="6" spans="1:20">
      <c r="A6" s="3">
        <v>5</v>
      </c>
      <c r="B6" s="3" t="s">
        <v>63</v>
      </c>
      <c r="C6" s="3" t="s">
        <v>64</v>
      </c>
      <c r="D6" s="4" t="s">
        <v>65</v>
      </c>
      <c r="E6" s="4" t="s">
        <v>66</v>
      </c>
      <c r="F6" s="4" t="s">
        <v>32</v>
      </c>
      <c r="G6" s="3" t="s">
        <v>67</v>
      </c>
      <c r="H6" s="3" t="s">
        <v>34</v>
      </c>
      <c r="I6" s="3">
        <f t="shared" si="0"/>
        <v>1976</v>
      </c>
      <c r="J6" s="3">
        <v>48</v>
      </c>
      <c r="K6" s="3">
        <v>4.7</v>
      </c>
      <c r="L6" s="3" t="s">
        <v>68</v>
      </c>
      <c r="M6" s="73" t="s">
        <v>68</v>
      </c>
      <c r="N6" s="3" t="s">
        <v>48</v>
      </c>
      <c r="O6" s="3" t="s">
        <v>69</v>
      </c>
      <c r="P6" s="3"/>
      <c r="Q6" s="3"/>
      <c r="R6" s="3"/>
      <c r="S6" s="3"/>
      <c r="T6" s="3"/>
    </row>
    <row r="7" spans="1:20">
      <c r="A7" s="3">
        <v>6</v>
      </c>
      <c r="B7" s="3" t="s">
        <v>70</v>
      </c>
      <c r="C7" s="3" t="s">
        <v>64</v>
      </c>
      <c r="D7" s="3" t="s">
        <v>65</v>
      </c>
      <c r="E7" s="3" t="s">
        <v>71</v>
      </c>
      <c r="F7" s="3" t="s">
        <v>32</v>
      </c>
      <c r="G7" s="3" t="s">
        <v>72</v>
      </c>
      <c r="H7" s="3" t="s">
        <v>45</v>
      </c>
      <c r="I7" s="3">
        <f t="shared" si="0"/>
        <v>1947</v>
      </c>
      <c r="J7" s="3">
        <v>77</v>
      </c>
      <c r="K7" s="3">
        <v>4.9000000000000004</v>
      </c>
      <c r="L7" s="3" t="s">
        <v>73</v>
      </c>
      <c r="M7" s="72" t="s">
        <v>74</v>
      </c>
      <c r="N7" s="3" t="s">
        <v>48</v>
      </c>
      <c r="O7" s="3" t="s">
        <v>75</v>
      </c>
      <c r="P7" s="3"/>
      <c r="Q7" s="3"/>
      <c r="R7" s="3"/>
      <c r="S7" s="3"/>
      <c r="T7" s="3"/>
    </row>
    <row r="8" spans="1:20">
      <c r="A8" s="3">
        <v>7</v>
      </c>
      <c r="B8" s="3" t="s">
        <v>76</v>
      </c>
      <c r="C8" s="4" t="s">
        <v>77</v>
      </c>
      <c r="D8" s="4" t="s">
        <v>78</v>
      </c>
      <c r="E8" s="4" t="s">
        <v>79</v>
      </c>
      <c r="F8" s="4" t="s">
        <v>32</v>
      </c>
      <c r="G8" s="3" t="s">
        <v>80</v>
      </c>
      <c r="H8" s="3" t="s">
        <v>34</v>
      </c>
      <c r="I8" s="3">
        <f t="shared" si="0"/>
        <v>1969</v>
      </c>
      <c r="J8" s="3">
        <v>55</v>
      </c>
      <c r="K8" s="3">
        <v>3.9</v>
      </c>
      <c r="L8" s="3" t="s">
        <v>81</v>
      </c>
      <c r="M8" s="72" t="s">
        <v>81</v>
      </c>
      <c r="N8" s="3" t="s">
        <v>48</v>
      </c>
      <c r="O8" s="3" t="s">
        <v>55</v>
      </c>
      <c r="P8" s="3"/>
      <c r="Q8" s="3"/>
      <c r="R8" s="3"/>
      <c r="S8" s="3"/>
      <c r="T8" s="3" t="s">
        <v>82</v>
      </c>
    </row>
    <row r="9" spans="1:20">
      <c r="A9" s="3">
        <v>8</v>
      </c>
      <c r="B9" s="3" t="s">
        <v>83</v>
      </c>
      <c r="C9" s="4" t="s">
        <v>78</v>
      </c>
      <c r="D9" s="4" t="s">
        <v>84</v>
      </c>
      <c r="E9" s="20" t="s">
        <v>85</v>
      </c>
      <c r="F9" s="20" t="s">
        <v>32</v>
      </c>
      <c r="G9" s="5" t="s">
        <v>86</v>
      </c>
      <c r="H9" s="3" t="s">
        <v>34</v>
      </c>
      <c r="I9" s="3">
        <f t="shared" si="0"/>
        <v>1989</v>
      </c>
      <c r="J9" s="3">
        <v>35</v>
      </c>
      <c r="K9" s="3">
        <v>4.4000000000000004</v>
      </c>
      <c r="L9" s="3" t="s">
        <v>68</v>
      </c>
      <c r="M9" s="73" t="s">
        <v>87</v>
      </c>
      <c r="N9" s="3" t="s">
        <v>48</v>
      </c>
      <c r="O9" s="3" t="s">
        <v>62</v>
      </c>
      <c r="P9" s="3"/>
      <c r="Q9" s="3"/>
      <c r="R9" s="3"/>
      <c r="S9" s="3"/>
      <c r="T9" s="3" t="s">
        <v>82</v>
      </c>
    </row>
    <row r="10" spans="1:20">
      <c r="A10" s="3">
        <v>9</v>
      </c>
      <c r="B10" s="3" t="s">
        <v>88</v>
      </c>
      <c r="C10" s="4" t="s">
        <v>84</v>
      </c>
      <c r="D10" s="11" t="s">
        <v>89</v>
      </c>
      <c r="E10" s="4" t="s">
        <v>90</v>
      </c>
      <c r="F10" s="4" t="s">
        <v>32</v>
      </c>
      <c r="G10" s="3" t="s">
        <v>91</v>
      </c>
      <c r="H10" s="8" t="s">
        <v>34</v>
      </c>
      <c r="I10" s="3">
        <f t="shared" si="0"/>
        <v>1938</v>
      </c>
      <c r="J10" s="3">
        <v>86</v>
      </c>
      <c r="K10" s="3">
        <v>5.3</v>
      </c>
      <c r="L10" s="3" t="s">
        <v>92</v>
      </c>
      <c r="M10" s="73" t="s">
        <v>68</v>
      </c>
      <c r="N10" s="3" t="s">
        <v>48</v>
      </c>
      <c r="O10" s="3" t="s">
        <v>69</v>
      </c>
      <c r="P10" s="3"/>
      <c r="Q10" s="3"/>
      <c r="R10" s="3"/>
      <c r="S10" s="3"/>
      <c r="T10" s="3"/>
    </row>
    <row r="11" spans="1:20">
      <c r="A11" s="3">
        <v>10</v>
      </c>
      <c r="B11" s="3" t="s">
        <v>93</v>
      </c>
      <c r="C11" s="4" t="s">
        <v>84</v>
      </c>
      <c r="D11" s="11" t="s">
        <v>89</v>
      </c>
      <c r="E11" s="4" t="s">
        <v>94</v>
      </c>
      <c r="F11" s="4" t="s">
        <v>32</v>
      </c>
      <c r="G11" s="3" t="s">
        <v>95</v>
      </c>
      <c r="H11" s="8" t="s">
        <v>45</v>
      </c>
      <c r="I11" s="3">
        <f t="shared" si="0"/>
        <v>1950</v>
      </c>
      <c r="J11" s="3">
        <v>74</v>
      </c>
      <c r="K11" s="3">
        <v>4.3</v>
      </c>
      <c r="L11" s="3" t="s">
        <v>96</v>
      </c>
      <c r="M11" s="73" t="s">
        <v>87</v>
      </c>
      <c r="N11" s="3" t="s">
        <v>48</v>
      </c>
      <c r="O11" s="3" t="s">
        <v>62</v>
      </c>
      <c r="P11" s="3"/>
      <c r="Q11" s="3"/>
      <c r="R11" s="3"/>
      <c r="S11" s="3"/>
      <c r="T11" s="3"/>
    </row>
    <row r="12" spans="1:20">
      <c r="A12" s="3">
        <v>11</v>
      </c>
      <c r="B12" s="3" t="s">
        <v>97</v>
      </c>
      <c r="C12" s="4" t="s">
        <v>98</v>
      </c>
      <c r="D12" s="11" t="s">
        <v>99</v>
      </c>
      <c r="E12" s="4" t="s">
        <v>100</v>
      </c>
      <c r="F12" s="4" t="s">
        <v>32</v>
      </c>
      <c r="G12" s="3" t="s">
        <v>101</v>
      </c>
      <c r="H12" s="8" t="s">
        <v>34</v>
      </c>
      <c r="I12" s="3">
        <f t="shared" si="0"/>
        <v>1951</v>
      </c>
      <c r="J12" s="3">
        <v>73</v>
      </c>
      <c r="K12" s="3">
        <v>4.2</v>
      </c>
      <c r="L12" s="3" t="s">
        <v>68</v>
      </c>
      <c r="M12" s="73" t="s">
        <v>102</v>
      </c>
      <c r="N12" s="3" t="s">
        <v>48</v>
      </c>
      <c r="O12" s="3" t="s">
        <v>62</v>
      </c>
      <c r="P12" s="3"/>
      <c r="Q12" s="3"/>
      <c r="R12" s="3"/>
      <c r="S12" s="3"/>
      <c r="T12" s="3"/>
    </row>
    <row r="13" spans="1:20">
      <c r="A13" s="3">
        <v>12</v>
      </c>
      <c r="B13" s="3" t="s">
        <v>103</v>
      </c>
      <c r="C13" s="4" t="s">
        <v>104</v>
      </c>
      <c r="D13" s="11" t="s">
        <v>105</v>
      </c>
      <c r="E13" s="4" t="s">
        <v>106</v>
      </c>
      <c r="F13" s="4" t="s">
        <v>32</v>
      </c>
      <c r="G13" s="3" t="s">
        <v>107</v>
      </c>
      <c r="H13" s="8" t="s">
        <v>45</v>
      </c>
      <c r="I13" s="3">
        <f t="shared" si="0"/>
        <v>1980</v>
      </c>
      <c r="J13" s="3">
        <v>44</v>
      </c>
      <c r="K13" s="3">
        <v>3.9</v>
      </c>
      <c r="L13" s="3" t="s">
        <v>108</v>
      </c>
      <c r="M13" s="72" t="s">
        <v>102</v>
      </c>
      <c r="N13" s="3" t="s">
        <v>48</v>
      </c>
      <c r="O13" s="3" t="s">
        <v>62</v>
      </c>
      <c r="P13" s="3"/>
      <c r="Q13" s="3"/>
      <c r="R13" s="3"/>
      <c r="S13" s="3"/>
      <c r="T13" s="3" t="s">
        <v>109</v>
      </c>
    </row>
    <row r="14" spans="1:20">
      <c r="A14" s="3">
        <v>13</v>
      </c>
      <c r="B14" s="3" t="s">
        <v>110</v>
      </c>
      <c r="C14" s="4" t="s">
        <v>111</v>
      </c>
      <c r="D14" s="11" t="s">
        <v>112</v>
      </c>
      <c r="E14" s="4" t="s">
        <v>113</v>
      </c>
      <c r="F14" s="4" t="s">
        <v>32</v>
      </c>
      <c r="G14" s="3" t="s">
        <v>114</v>
      </c>
      <c r="H14" s="8" t="s">
        <v>34</v>
      </c>
      <c r="I14" s="3">
        <f t="shared" si="0"/>
        <v>1964</v>
      </c>
      <c r="J14" s="3">
        <v>60</v>
      </c>
      <c r="K14" s="3">
        <v>4.8</v>
      </c>
      <c r="L14" s="3" t="s">
        <v>108</v>
      </c>
      <c r="M14" s="72" t="s">
        <v>81</v>
      </c>
      <c r="N14" s="3" t="s">
        <v>48</v>
      </c>
      <c r="O14" s="3" t="s">
        <v>55</v>
      </c>
      <c r="P14" s="3"/>
      <c r="Q14" s="3"/>
      <c r="R14" s="3"/>
      <c r="S14" s="3"/>
      <c r="T14" s="3"/>
    </row>
    <row r="15" spans="1:20">
      <c r="A15" s="3">
        <v>14</v>
      </c>
      <c r="B15" s="3" t="s">
        <v>115</v>
      </c>
      <c r="C15" s="3" t="s">
        <v>116</v>
      </c>
      <c r="D15" s="19" t="s">
        <v>117</v>
      </c>
      <c r="E15" s="3" t="s">
        <v>118</v>
      </c>
      <c r="F15" s="3" t="s">
        <v>32</v>
      </c>
      <c r="G15" s="3" t="s">
        <v>119</v>
      </c>
      <c r="H15" s="8" t="s">
        <v>34</v>
      </c>
      <c r="I15" s="3">
        <f t="shared" si="0"/>
        <v>1951</v>
      </c>
      <c r="J15" s="3">
        <v>73</v>
      </c>
      <c r="K15" s="3">
        <v>5.5</v>
      </c>
      <c r="L15" s="3" t="s">
        <v>73</v>
      </c>
      <c r="M15" s="72" t="s">
        <v>120</v>
      </c>
      <c r="N15" s="3" t="s">
        <v>48</v>
      </c>
      <c r="O15" s="3" t="s">
        <v>75</v>
      </c>
      <c r="P15" s="3"/>
      <c r="Q15" s="3"/>
      <c r="R15" s="3"/>
      <c r="S15" s="3"/>
      <c r="T15" s="3"/>
    </row>
    <row r="16" spans="1:20">
      <c r="A16" s="3">
        <v>15</v>
      </c>
      <c r="B16" s="3" t="s">
        <v>121</v>
      </c>
      <c r="C16" s="124">
        <v>45638</v>
      </c>
      <c r="D16" s="125" t="s">
        <v>122</v>
      </c>
      <c r="E16" s="124" t="s">
        <v>123</v>
      </c>
      <c r="F16" s="124" t="s">
        <v>32</v>
      </c>
      <c r="G16" s="3" t="s">
        <v>124</v>
      </c>
      <c r="H16" s="8" t="s">
        <v>34</v>
      </c>
      <c r="I16" s="3">
        <f t="shared" si="0"/>
        <v>1947</v>
      </c>
      <c r="J16" s="3">
        <v>77</v>
      </c>
      <c r="K16" s="3">
        <v>4.7</v>
      </c>
      <c r="L16" s="3" t="s">
        <v>125</v>
      </c>
      <c r="M16" s="73" t="s">
        <v>126</v>
      </c>
      <c r="N16" s="3" t="s">
        <v>48</v>
      </c>
      <c r="O16" s="3" t="s">
        <v>127</v>
      </c>
      <c r="P16" s="3"/>
      <c r="Q16" s="3"/>
      <c r="R16" s="3"/>
      <c r="S16" s="3"/>
      <c r="T16" s="3"/>
    </row>
    <row r="17" spans="1:20">
      <c r="A17" s="3">
        <v>16</v>
      </c>
      <c r="B17" s="3" t="s">
        <v>128</v>
      </c>
      <c r="C17" s="124" t="s">
        <v>122</v>
      </c>
      <c r="D17" s="125" t="s">
        <v>129</v>
      </c>
      <c r="E17" s="124" t="s">
        <v>130</v>
      </c>
      <c r="F17" s="124" t="s">
        <v>32</v>
      </c>
      <c r="G17" s="3" t="s">
        <v>131</v>
      </c>
      <c r="H17" s="8" t="s">
        <v>34</v>
      </c>
      <c r="I17" s="3">
        <f t="shared" si="0"/>
        <v>1950</v>
      </c>
      <c r="J17" s="3">
        <v>74</v>
      </c>
      <c r="K17" s="3">
        <v>4</v>
      </c>
      <c r="L17" s="3" t="s">
        <v>132</v>
      </c>
      <c r="M17" s="73" t="s">
        <v>133</v>
      </c>
      <c r="N17" s="3" t="s">
        <v>48</v>
      </c>
      <c r="O17" s="3" t="s">
        <v>127</v>
      </c>
      <c r="P17" s="3"/>
      <c r="Q17" s="3"/>
      <c r="R17" s="3"/>
      <c r="S17" s="3"/>
      <c r="T17" s="3"/>
    </row>
    <row r="18" spans="1:20" ht="60.75">
      <c r="A18" s="3">
        <v>17</v>
      </c>
      <c r="B18" s="3" t="s">
        <v>134</v>
      </c>
      <c r="C18" s="3" t="s">
        <v>135</v>
      </c>
      <c r="D18" s="19" t="s">
        <v>136</v>
      </c>
      <c r="E18" s="3" t="s">
        <v>137</v>
      </c>
      <c r="F18" s="3" t="s">
        <v>32</v>
      </c>
      <c r="G18" s="3" t="s">
        <v>138</v>
      </c>
      <c r="H18" s="8" t="s">
        <v>34</v>
      </c>
      <c r="I18" s="3">
        <f t="shared" si="0"/>
        <v>1962</v>
      </c>
      <c r="J18" s="3">
        <v>62</v>
      </c>
      <c r="K18" s="3">
        <v>5.5</v>
      </c>
      <c r="L18" s="126" t="s">
        <v>139</v>
      </c>
      <c r="M18" s="72" t="s">
        <v>47</v>
      </c>
      <c r="N18" s="3" t="s">
        <v>48</v>
      </c>
      <c r="O18" s="3" t="s">
        <v>49</v>
      </c>
      <c r="P18" s="3"/>
      <c r="Q18" s="3"/>
      <c r="R18" s="3"/>
      <c r="S18" s="3"/>
      <c r="T18" s="3"/>
    </row>
    <row r="19" spans="1:20">
      <c r="A19" s="3">
        <v>18</v>
      </c>
      <c r="B19" s="3" t="s">
        <v>140</v>
      </c>
      <c r="C19" s="124" t="s">
        <v>136</v>
      </c>
      <c r="D19" s="11" t="s">
        <v>141</v>
      </c>
      <c r="E19" s="4" t="s">
        <v>142</v>
      </c>
      <c r="F19" s="4" t="s">
        <v>32</v>
      </c>
      <c r="G19" s="3" t="s">
        <v>143</v>
      </c>
      <c r="H19" s="8" t="s">
        <v>45</v>
      </c>
      <c r="I19" s="3">
        <f t="shared" si="0"/>
        <v>1976</v>
      </c>
      <c r="J19" s="3">
        <v>48</v>
      </c>
      <c r="K19" s="3">
        <v>4</v>
      </c>
      <c r="L19" s="3" t="s">
        <v>144</v>
      </c>
      <c r="M19" s="73" t="s">
        <v>102</v>
      </c>
      <c r="N19" s="3" t="s">
        <v>48</v>
      </c>
      <c r="O19" s="3" t="s">
        <v>62</v>
      </c>
      <c r="P19" s="3"/>
      <c r="Q19" s="3"/>
      <c r="R19" s="3"/>
      <c r="S19" s="3"/>
      <c r="T19" s="3"/>
    </row>
    <row r="20" spans="1:20">
      <c r="A20" s="3">
        <v>19</v>
      </c>
      <c r="B20" s="3" t="s">
        <v>145</v>
      </c>
      <c r="C20" s="4" t="s">
        <v>146</v>
      </c>
      <c r="D20" s="11" t="s">
        <v>147</v>
      </c>
      <c r="E20" s="4" t="s">
        <v>148</v>
      </c>
      <c r="F20" s="4" t="s">
        <v>32</v>
      </c>
      <c r="G20" s="3" t="s">
        <v>149</v>
      </c>
      <c r="H20" s="8" t="s">
        <v>45</v>
      </c>
      <c r="I20" s="3">
        <f t="shared" si="0"/>
        <v>1970</v>
      </c>
      <c r="J20" s="3">
        <v>54</v>
      </c>
      <c r="K20" s="3">
        <v>4.5</v>
      </c>
      <c r="L20" s="3" t="s">
        <v>150</v>
      </c>
      <c r="M20" s="73" t="s">
        <v>54</v>
      </c>
      <c r="N20" s="3" t="s">
        <v>48</v>
      </c>
      <c r="O20" s="3" t="s">
        <v>55</v>
      </c>
      <c r="P20" s="3"/>
      <c r="Q20" s="3"/>
      <c r="R20" s="3"/>
      <c r="S20" s="3"/>
      <c r="T20" s="3"/>
    </row>
    <row r="21" spans="1:20">
      <c r="A21" s="3">
        <v>20</v>
      </c>
      <c r="B21" s="3" t="s">
        <v>151</v>
      </c>
      <c r="C21" s="3" t="s">
        <v>152</v>
      </c>
      <c r="D21" s="18" t="s">
        <v>153</v>
      </c>
      <c r="E21" s="3" t="s">
        <v>154</v>
      </c>
      <c r="F21" s="3" t="s">
        <v>32</v>
      </c>
      <c r="G21" s="3" t="s">
        <v>155</v>
      </c>
      <c r="H21" s="9" t="s">
        <v>45</v>
      </c>
      <c r="I21" s="3">
        <f t="shared" si="0"/>
        <v>1954</v>
      </c>
      <c r="J21" s="3">
        <v>70</v>
      </c>
      <c r="K21" s="3">
        <v>5.6</v>
      </c>
      <c r="L21" s="3" t="s">
        <v>156</v>
      </c>
      <c r="M21" s="72" t="s">
        <v>47</v>
      </c>
      <c r="N21" s="3" t="s">
        <v>48</v>
      </c>
      <c r="O21" s="3" t="s">
        <v>49</v>
      </c>
      <c r="P21" s="3"/>
      <c r="Q21" s="3"/>
      <c r="R21" s="3"/>
      <c r="S21" s="3"/>
      <c r="T21" s="3"/>
    </row>
    <row r="22" spans="1:20">
      <c r="A22" s="3">
        <v>21</v>
      </c>
      <c r="B22" s="3" t="s">
        <v>157</v>
      </c>
      <c r="C22" s="11" t="s">
        <v>153</v>
      </c>
      <c r="D22" s="11" t="s">
        <v>158</v>
      </c>
      <c r="E22" s="4" t="s">
        <v>159</v>
      </c>
      <c r="F22" s="4" t="s">
        <v>32</v>
      </c>
      <c r="G22" s="3" t="s">
        <v>160</v>
      </c>
      <c r="H22" s="8" t="s">
        <v>34</v>
      </c>
      <c r="I22" s="8">
        <f>2025-J22</f>
        <v>1965</v>
      </c>
      <c r="J22" s="3">
        <v>60</v>
      </c>
      <c r="K22" s="3">
        <v>4</v>
      </c>
      <c r="L22" s="3" t="s">
        <v>54</v>
      </c>
      <c r="M22" s="73" t="s">
        <v>87</v>
      </c>
      <c r="N22" s="3" t="s">
        <v>48</v>
      </c>
      <c r="O22" s="3" t="s">
        <v>62</v>
      </c>
      <c r="P22" s="3"/>
      <c r="Q22" s="3"/>
      <c r="R22" s="3"/>
      <c r="S22" s="3"/>
      <c r="T22" s="3"/>
    </row>
    <row r="23" spans="1:20">
      <c r="A23" s="3">
        <v>22</v>
      </c>
      <c r="B23" s="3" t="s">
        <v>161</v>
      </c>
      <c r="C23" s="11" t="s">
        <v>162</v>
      </c>
      <c r="D23" s="11" t="s">
        <v>163</v>
      </c>
      <c r="E23" s="4" t="s">
        <v>164</v>
      </c>
      <c r="F23" s="4" t="s">
        <v>32</v>
      </c>
      <c r="G23" s="3" t="s">
        <v>165</v>
      </c>
      <c r="H23" s="8" t="s">
        <v>45</v>
      </c>
      <c r="I23" s="8">
        <f t="shared" ref="I23:I51" si="1">2025-J23</f>
        <v>1957</v>
      </c>
      <c r="J23" s="3">
        <v>68</v>
      </c>
      <c r="K23" s="3">
        <v>4.5</v>
      </c>
      <c r="L23" s="3" t="s">
        <v>166</v>
      </c>
      <c r="M23" s="73" t="s">
        <v>167</v>
      </c>
      <c r="N23" s="3" t="s">
        <v>48</v>
      </c>
      <c r="O23" s="3" t="s">
        <v>168</v>
      </c>
      <c r="P23" s="3"/>
      <c r="Q23" s="3"/>
      <c r="R23" s="3"/>
      <c r="S23" s="3"/>
      <c r="T23" s="3"/>
    </row>
    <row r="24" spans="1:20">
      <c r="A24" s="3">
        <v>23</v>
      </c>
      <c r="B24" s="3" t="s">
        <v>169</v>
      </c>
      <c r="C24" s="19" t="s">
        <v>170</v>
      </c>
      <c r="D24" s="19" t="s">
        <v>163</v>
      </c>
      <c r="E24" s="3" t="s">
        <v>171</v>
      </c>
      <c r="F24" s="3" t="s">
        <v>32</v>
      </c>
      <c r="G24" s="3" t="s">
        <v>172</v>
      </c>
      <c r="H24" s="8" t="s">
        <v>173</v>
      </c>
      <c r="I24" s="8">
        <f t="shared" si="1"/>
        <v>1973</v>
      </c>
      <c r="J24" s="3">
        <v>52</v>
      </c>
      <c r="K24" s="3">
        <v>3.8</v>
      </c>
      <c r="L24" s="3" t="s">
        <v>174</v>
      </c>
      <c r="M24" s="72" t="s">
        <v>175</v>
      </c>
      <c r="N24" s="3" t="s">
        <v>48</v>
      </c>
      <c r="O24" s="3" t="s">
        <v>49</v>
      </c>
      <c r="P24" s="3"/>
      <c r="Q24" s="3"/>
      <c r="R24" s="3"/>
      <c r="S24" s="3"/>
      <c r="T24" s="3"/>
    </row>
    <row r="25" spans="1:20">
      <c r="A25" s="3">
        <v>24</v>
      </c>
      <c r="B25" s="3" t="s">
        <v>176</v>
      </c>
      <c r="C25" s="11" t="s">
        <v>170</v>
      </c>
      <c r="D25" s="11" t="s">
        <v>163</v>
      </c>
      <c r="E25" s="4" t="s">
        <v>177</v>
      </c>
      <c r="F25" s="4" t="s">
        <v>32</v>
      </c>
      <c r="G25" s="3" t="s">
        <v>178</v>
      </c>
      <c r="H25" s="8" t="s">
        <v>34</v>
      </c>
      <c r="I25" s="8">
        <f t="shared" si="1"/>
        <v>1977</v>
      </c>
      <c r="J25" s="3">
        <v>48</v>
      </c>
      <c r="K25" s="3">
        <v>3.3</v>
      </c>
      <c r="L25" s="3" t="s">
        <v>179</v>
      </c>
      <c r="M25" s="73" t="s">
        <v>87</v>
      </c>
      <c r="N25" s="3" t="s">
        <v>48</v>
      </c>
      <c r="O25" s="3" t="s">
        <v>62</v>
      </c>
      <c r="P25" s="3"/>
      <c r="Q25" s="3"/>
      <c r="R25" s="3"/>
      <c r="S25" s="3"/>
      <c r="T25" s="3"/>
    </row>
    <row r="26" spans="1:20">
      <c r="A26" s="3">
        <v>25</v>
      </c>
      <c r="B26" s="3" t="s">
        <v>180</v>
      </c>
      <c r="C26" s="11" t="s">
        <v>181</v>
      </c>
      <c r="D26" s="11" t="s">
        <v>182</v>
      </c>
      <c r="E26" s="4" t="s">
        <v>183</v>
      </c>
      <c r="F26" s="4" t="s">
        <v>32</v>
      </c>
      <c r="G26" s="3" t="s">
        <v>184</v>
      </c>
      <c r="H26" s="8" t="s">
        <v>34</v>
      </c>
      <c r="I26" s="8">
        <f t="shared" si="1"/>
        <v>1975</v>
      </c>
      <c r="J26" s="3">
        <v>50</v>
      </c>
      <c r="K26" s="3">
        <v>4.2</v>
      </c>
      <c r="L26" s="3" t="s">
        <v>144</v>
      </c>
      <c r="M26" s="73" t="s">
        <v>68</v>
      </c>
      <c r="N26" s="3" t="s">
        <v>48</v>
      </c>
      <c r="O26" s="3" t="s">
        <v>69</v>
      </c>
      <c r="P26" s="3"/>
      <c r="Q26" s="3"/>
      <c r="R26" s="3"/>
      <c r="S26" s="3"/>
      <c r="T26" s="3"/>
    </row>
    <row r="27" spans="1:20">
      <c r="A27" s="3">
        <v>26</v>
      </c>
      <c r="B27" s="3" t="s">
        <v>185</v>
      </c>
      <c r="C27" s="11" t="s">
        <v>163</v>
      </c>
      <c r="D27" s="11" t="s">
        <v>182</v>
      </c>
      <c r="E27" s="4" t="s">
        <v>186</v>
      </c>
      <c r="F27" s="4" t="s">
        <v>32</v>
      </c>
      <c r="G27" s="3" t="s">
        <v>187</v>
      </c>
      <c r="H27" s="8" t="s">
        <v>34</v>
      </c>
      <c r="I27" s="8">
        <f t="shared" si="1"/>
        <v>1973</v>
      </c>
      <c r="J27" s="3">
        <v>52</v>
      </c>
      <c r="K27" s="3">
        <v>2</v>
      </c>
      <c r="L27" s="3" t="s">
        <v>188</v>
      </c>
      <c r="M27" s="73" t="s">
        <v>189</v>
      </c>
      <c r="N27" s="3" t="s">
        <v>48</v>
      </c>
      <c r="O27" s="3" t="s">
        <v>62</v>
      </c>
      <c r="P27" s="3"/>
      <c r="Q27" s="3"/>
      <c r="R27" s="3"/>
      <c r="S27" s="3"/>
      <c r="T27" s="3" t="s">
        <v>190</v>
      </c>
    </row>
    <row r="28" spans="1:20">
      <c r="A28" s="3">
        <v>27</v>
      </c>
      <c r="B28" s="3" t="s">
        <v>191</v>
      </c>
      <c r="C28" s="11" t="s">
        <v>192</v>
      </c>
      <c r="D28" s="11" t="s">
        <v>193</v>
      </c>
      <c r="E28" s="4" t="s">
        <v>194</v>
      </c>
      <c r="F28" s="4" t="s">
        <v>32</v>
      </c>
      <c r="G28" s="3" t="s">
        <v>195</v>
      </c>
      <c r="H28" s="8" t="s">
        <v>173</v>
      </c>
      <c r="I28" s="8">
        <f t="shared" si="1"/>
        <v>1957</v>
      </c>
      <c r="J28" s="3">
        <v>68</v>
      </c>
      <c r="K28" s="3">
        <v>4.5999999999999996</v>
      </c>
      <c r="L28" s="3" t="s">
        <v>196</v>
      </c>
      <c r="M28" s="73" t="s">
        <v>197</v>
      </c>
      <c r="N28" s="3" t="s">
        <v>48</v>
      </c>
      <c r="O28" s="3" t="s">
        <v>127</v>
      </c>
      <c r="P28" s="3"/>
      <c r="Q28" s="3"/>
      <c r="R28" s="3"/>
      <c r="S28" s="3"/>
      <c r="T28" s="3"/>
    </row>
    <row r="29" spans="1:20">
      <c r="A29" s="3">
        <v>28</v>
      </c>
      <c r="B29" s="3" t="s">
        <v>198</v>
      </c>
      <c r="C29" s="11" t="s">
        <v>192</v>
      </c>
      <c r="D29" s="11" t="s">
        <v>193</v>
      </c>
      <c r="E29" s="4" t="s">
        <v>199</v>
      </c>
      <c r="F29" s="4" t="s">
        <v>32</v>
      </c>
      <c r="G29" s="3" t="s">
        <v>200</v>
      </c>
      <c r="H29" s="8" t="s">
        <v>34</v>
      </c>
      <c r="I29" s="8">
        <f t="shared" si="1"/>
        <v>1961</v>
      </c>
      <c r="J29" s="3">
        <v>64</v>
      </c>
      <c r="K29" s="3">
        <v>4</v>
      </c>
      <c r="L29" s="3" t="s">
        <v>68</v>
      </c>
      <c r="M29" s="73" t="s">
        <v>102</v>
      </c>
      <c r="N29" s="3" t="s">
        <v>48</v>
      </c>
      <c r="O29" s="3" t="s">
        <v>62</v>
      </c>
      <c r="P29" s="3"/>
      <c r="Q29" s="3"/>
      <c r="R29" s="3"/>
      <c r="S29" s="3"/>
      <c r="T29" s="3"/>
    </row>
    <row r="30" spans="1:20">
      <c r="A30" s="3">
        <v>29</v>
      </c>
      <c r="B30" s="3" t="s">
        <v>201</v>
      </c>
      <c r="C30" s="11" t="s">
        <v>193</v>
      </c>
      <c r="D30" s="11" t="s">
        <v>202</v>
      </c>
      <c r="E30" s="4" t="s">
        <v>203</v>
      </c>
      <c r="F30" s="4" t="s">
        <v>32</v>
      </c>
      <c r="G30" s="3" t="s">
        <v>204</v>
      </c>
      <c r="H30" s="8" t="s">
        <v>34</v>
      </c>
      <c r="I30" s="8">
        <f t="shared" si="1"/>
        <v>1980</v>
      </c>
      <c r="J30" s="3">
        <v>45</v>
      </c>
      <c r="K30" s="3">
        <v>3.7</v>
      </c>
      <c r="L30" s="3" t="s">
        <v>68</v>
      </c>
      <c r="M30" s="73" t="s">
        <v>102</v>
      </c>
      <c r="N30" s="3" t="s">
        <v>48</v>
      </c>
      <c r="O30" s="3" t="s">
        <v>62</v>
      </c>
      <c r="P30" s="3"/>
      <c r="Q30" s="3"/>
      <c r="R30" s="3"/>
      <c r="S30" s="3"/>
      <c r="T30" s="3" t="s">
        <v>205</v>
      </c>
    </row>
    <row r="31" spans="1:20">
      <c r="A31" s="3">
        <v>30</v>
      </c>
      <c r="B31" s="3" t="s">
        <v>206</v>
      </c>
      <c r="C31" s="11" t="s">
        <v>207</v>
      </c>
      <c r="D31" s="11" t="s">
        <v>208</v>
      </c>
      <c r="E31" s="4" t="s">
        <v>209</v>
      </c>
      <c r="F31" s="4" t="s">
        <v>32</v>
      </c>
      <c r="G31" s="3" t="s">
        <v>210</v>
      </c>
      <c r="H31" s="8" t="s">
        <v>34</v>
      </c>
      <c r="I31" s="8">
        <f t="shared" si="1"/>
        <v>1966</v>
      </c>
      <c r="J31" s="3">
        <v>59</v>
      </c>
      <c r="K31" s="3">
        <v>4</v>
      </c>
      <c r="L31" s="3" t="s">
        <v>68</v>
      </c>
      <c r="M31" s="73" t="s">
        <v>211</v>
      </c>
      <c r="N31" s="3" t="s">
        <v>48</v>
      </c>
      <c r="O31" s="3" t="s">
        <v>168</v>
      </c>
      <c r="P31" s="3"/>
      <c r="Q31" s="3"/>
      <c r="R31" s="3"/>
      <c r="S31" s="3"/>
      <c r="T31" s="3"/>
    </row>
    <row r="32" spans="1:20">
      <c r="A32" s="3">
        <v>31</v>
      </c>
      <c r="B32" s="3" t="s">
        <v>212</v>
      </c>
      <c r="C32" s="11" t="s">
        <v>213</v>
      </c>
      <c r="D32" s="13" t="s">
        <v>214</v>
      </c>
      <c r="E32" s="7" t="s">
        <v>215</v>
      </c>
      <c r="F32" s="7" t="s">
        <v>32</v>
      </c>
      <c r="G32" s="3" t="s">
        <v>216</v>
      </c>
      <c r="H32" s="8" t="s">
        <v>34</v>
      </c>
      <c r="I32" s="8">
        <f t="shared" si="1"/>
        <v>1981</v>
      </c>
      <c r="J32" s="3">
        <v>44</v>
      </c>
      <c r="K32" s="3">
        <v>3.8</v>
      </c>
      <c r="L32" s="3" t="s">
        <v>211</v>
      </c>
      <c r="M32" s="72" t="s">
        <v>81</v>
      </c>
      <c r="N32" s="3" t="s">
        <v>48</v>
      </c>
      <c r="O32" s="3" t="s">
        <v>55</v>
      </c>
      <c r="P32" s="3"/>
      <c r="Q32" s="3"/>
      <c r="R32" s="3"/>
      <c r="S32" s="3"/>
      <c r="T32" s="3"/>
    </row>
    <row r="33" spans="1:20">
      <c r="A33" s="3">
        <v>32</v>
      </c>
      <c r="B33" s="3" t="s">
        <v>217</v>
      </c>
      <c r="C33" s="11" t="s">
        <v>213</v>
      </c>
      <c r="D33" s="13" t="s">
        <v>218</v>
      </c>
      <c r="E33" s="7" t="s">
        <v>219</v>
      </c>
      <c r="F33" s="7" t="s">
        <v>32</v>
      </c>
      <c r="G33" s="3" t="s">
        <v>220</v>
      </c>
      <c r="H33" s="8" t="s">
        <v>34</v>
      </c>
      <c r="I33" s="8">
        <f t="shared" si="1"/>
        <v>1978</v>
      </c>
      <c r="J33" s="3">
        <v>47</v>
      </c>
      <c r="K33" s="3">
        <v>5.5</v>
      </c>
      <c r="L33" s="3" t="s">
        <v>221</v>
      </c>
      <c r="M33" s="73" t="s">
        <v>73</v>
      </c>
      <c r="N33" s="3" t="s">
        <v>48</v>
      </c>
      <c r="O33" s="3" t="s">
        <v>127</v>
      </c>
      <c r="P33" s="3"/>
      <c r="Q33" s="3"/>
      <c r="R33" s="3"/>
      <c r="S33" s="3"/>
      <c r="T33" s="3"/>
    </row>
    <row r="34" spans="1:20">
      <c r="A34" s="3">
        <v>33</v>
      </c>
      <c r="B34" s="3" t="s">
        <v>222</v>
      </c>
      <c r="C34" s="11" t="s">
        <v>214</v>
      </c>
      <c r="D34" s="13" t="s">
        <v>223</v>
      </c>
      <c r="E34" s="7" t="s">
        <v>224</v>
      </c>
      <c r="F34" s="7" t="s">
        <v>32</v>
      </c>
      <c r="G34" s="3" t="s">
        <v>225</v>
      </c>
      <c r="H34" s="8" t="s">
        <v>173</v>
      </c>
      <c r="I34" s="8">
        <f t="shared" si="1"/>
        <v>1963</v>
      </c>
      <c r="J34" s="3">
        <v>62</v>
      </c>
      <c r="K34" s="3">
        <v>4.8</v>
      </c>
      <c r="L34" s="3" t="s">
        <v>174</v>
      </c>
      <c r="M34" s="73" t="s">
        <v>54</v>
      </c>
      <c r="N34" s="3" t="s">
        <v>48</v>
      </c>
      <c r="O34" s="3" t="s">
        <v>55</v>
      </c>
      <c r="P34" s="3"/>
      <c r="Q34" s="3"/>
      <c r="R34" s="3"/>
      <c r="S34" s="3"/>
      <c r="T34" s="3"/>
    </row>
    <row r="35" spans="1:20">
      <c r="A35" s="3">
        <v>34</v>
      </c>
      <c r="B35" s="3" t="s">
        <v>226</v>
      </c>
      <c r="C35" s="11" t="s">
        <v>223</v>
      </c>
      <c r="D35" s="19" t="s">
        <v>227</v>
      </c>
      <c r="E35" s="3" t="s">
        <v>228</v>
      </c>
      <c r="F35" s="3" t="s">
        <v>32</v>
      </c>
      <c r="G35" s="3" t="s">
        <v>229</v>
      </c>
      <c r="H35" s="8" t="s">
        <v>34</v>
      </c>
      <c r="I35" s="8">
        <f t="shared" si="1"/>
        <v>1973</v>
      </c>
      <c r="J35" s="3">
        <v>52</v>
      </c>
      <c r="K35" s="3">
        <v>4</v>
      </c>
      <c r="L35" s="3" t="s">
        <v>230</v>
      </c>
      <c r="M35" s="73" t="s">
        <v>54</v>
      </c>
      <c r="N35" s="3" t="s">
        <v>48</v>
      </c>
      <c r="O35" s="3" t="s">
        <v>55</v>
      </c>
      <c r="P35" s="3"/>
      <c r="Q35" s="3"/>
      <c r="R35" s="3"/>
      <c r="S35" s="3"/>
      <c r="T35" s="3"/>
    </row>
    <row r="36" spans="1:20">
      <c r="A36" s="5">
        <v>35</v>
      </c>
      <c r="B36" s="5" t="s">
        <v>231</v>
      </c>
      <c r="C36" s="12" t="s">
        <v>232</v>
      </c>
      <c r="D36" s="13" t="s">
        <v>233</v>
      </c>
      <c r="E36" s="7" t="s">
        <v>234</v>
      </c>
      <c r="F36" s="7" t="s">
        <v>32</v>
      </c>
      <c r="G36" s="3" t="s">
        <v>235</v>
      </c>
      <c r="H36" s="8" t="s">
        <v>34</v>
      </c>
      <c r="I36" s="9">
        <f t="shared" si="1"/>
        <v>1975</v>
      </c>
      <c r="J36" s="5">
        <v>50</v>
      </c>
      <c r="K36" s="5">
        <v>4.5</v>
      </c>
      <c r="L36" s="5" t="s">
        <v>144</v>
      </c>
      <c r="M36" s="74" t="s">
        <v>236</v>
      </c>
      <c r="N36" s="5" t="s">
        <v>48</v>
      </c>
      <c r="O36" s="5" t="s">
        <v>69</v>
      </c>
      <c r="P36" s="5"/>
      <c r="Q36" s="5"/>
      <c r="R36" s="5"/>
      <c r="S36" s="5"/>
      <c r="T36" s="5"/>
    </row>
    <row r="37" spans="1:20">
      <c r="A37" s="40">
        <v>36</v>
      </c>
      <c r="B37" s="40" t="s">
        <v>237</v>
      </c>
      <c r="C37" s="41" t="s">
        <v>238</v>
      </c>
      <c r="D37" s="41" t="s">
        <v>239</v>
      </c>
      <c r="E37" s="42" t="s">
        <v>240</v>
      </c>
      <c r="F37" s="42" t="s">
        <v>241</v>
      </c>
      <c r="G37" s="40" t="s">
        <v>242</v>
      </c>
      <c r="H37" s="43" t="s">
        <v>173</v>
      </c>
      <c r="I37" s="43">
        <f t="shared" si="1"/>
        <v>1993</v>
      </c>
      <c r="J37" s="40">
        <v>32</v>
      </c>
      <c r="K37" s="40">
        <v>5.7</v>
      </c>
      <c r="L37" s="40" t="s">
        <v>81</v>
      </c>
      <c r="M37" s="75" t="s">
        <v>243</v>
      </c>
      <c r="N37" s="46" t="s">
        <v>48</v>
      </c>
      <c r="O37" s="46" t="s">
        <v>168</v>
      </c>
      <c r="P37" s="46"/>
      <c r="Q37" s="40"/>
      <c r="R37" s="40"/>
      <c r="S37" s="40"/>
      <c r="T37" s="40" t="s">
        <v>244</v>
      </c>
    </row>
    <row r="38" spans="1:20">
      <c r="A38" s="114">
        <v>37</v>
      </c>
      <c r="B38" s="121" t="s">
        <v>245</v>
      </c>
      <c r="C38" s="118" t="s">
        <v>238</v>
      </c>
      <c r="D38" s="118" t="s">
        <v>239</v>
      </c>
      <c r="E38" s="113" t="s">
        <v>246</v>
      </c>
      <c r="F38" s="113" t="s">
        <v>241</v>
      </c>
      <c r="G38" s="114" t="s">
        <v>247</v>
      </c>
      <c r="H38" s="119" t="s">
        <v>34</v>
      </c>
      <c r="I38" s="119">
        <f t="shared" si="1"/>
        <v>1970</v>
      </c>
      <c r="J38" s="114">
        <v>55</v>
      </c>
      <c r="K38" s="114">
        <v>4.5</v>
      </c>
      <c r="L38" s="120" t="s">
        <v>196</v>
      </c>
      <c r="M38" s="117" t="s">
        <v>248</v>
      </c>
      <c r="N38" s="114" t="s">
        <v>48</v>
      </c>
      <c r="O38" s="114" t="s">
        <v>249</v>
      </c>
      <c r="P38" s="114"/>
      <c r="Q38" s="119"/>
      <c r="R38" s="114"/>
      <c r="S38" s="114"/>
      <c r="T38" s="61" t="s">
        <v>250</v>
      </c>
    </row>
    <row r="39" spans="1:20">
      <c r="A39" s="46">
        <v>38</v>
      </c>
      <c r="B39" s="46" t="s">
        <v>251</v>
      </c>
      <c r="C39" s="47" t="s">
        <v>238</v>
      </c>
      <c r="D39" s="41" t="s">
        <v>239</v>
      </c>
      <c r="E39" s="42" t="s">
        <v>252</v>
      </c>
      <c r="F39" s="42" t="s">
        <v>241</v>
      </c>
      <c r="G39" s="40" t="s">
        <v>253</v>
      </c>
      <c r="H39" s="43" t="s">
        <v>34</v>
      </c>
      <c r="I39" s="48">
        <f t="shared" si="1"/>
        <v>1959</v>
      </c>
      <c r="J39" s="46">
        <v>66</v>
      </c>
      <c r="K39" s="46">
        <v>4.8</v>
      </c>
      <c r="L39" s="56" t="s">
        <v>211</v>
      </c>
      <c r="M39" s="77" t="s">
        <v>254</v>
      </c>
      <c r="N39" s="40" t="s">
        <v>48</v>
      </c>
      <c r="O39" s="40" t="s">
        <v>75</v>
      </c>
      <c r="P39" s="40"/>
      <c r="Q39" s="48"/>
      <c r="R39" s="46"/>
      <c r="S39" s="46"/>
      <c r="T39" s="40" t="s">
        <v>244</v>
      </c>
    </row>
    <row r="40" spans="1:20">
      <c r="A40" s="5">
        <v>39</v>
      </c>
      <c r="B40" s="5" t="s">
        <v>255</v>
      </c>
      <c r="C40" s="12" t="s">
        <v>238</v>
      </c>
      <c r="D40" s="12" t="s">
        <v>256</v>
      </c>
      <c r="E40" s="7" t="s">
        <v>257</v>
      </c>
      <c r="F40" s="7" t="s">
        <v>32</v>
      </c>
      <c r="G40" s="3" t="s">
        <v>258</v>
      </c>
      <c r="H40" s="9" t="s">
        <v>173</v>
      </c>
      <c r="I40" s="9">
        <f t="shared" si="1"/>
        <v>1945</v>
      </c>
      <c r="J40" s="5">
        <v>80</v>
      </c>
      <c r="K40" s="5">
        <v>3.7</v>
      </c>
      <c r="L40" s="18" t="s">
        <v>211</v>
      </c>
      <c r="M40" s="72" t="s">
        <v>259</v>
      </c>
      <c r="N40" s="3" t="s">
        <v>48</v>
      </c>
      <c r="O40" s="3" t="s">
        <v>49</v>
      </c>
      <c r="P40" s="3"/>
      <c r="Q40" s="9"/>
      <c r="R40" s="5"/>
      <c r="S40" s="5"/>
      <c r="T40" s="5" t="s">
        <v>260</v>
      </c>
    </row>
    <row r="41" spans="1:20">
      <c r="A41" s="114">
        <v>40</v>
      </c>
      <c r="B41" s="114" t="s">
        <v>261</v>
      </c>
      <c r="C41" s="113" t="s">
        <v>262</v>
      </c>
      <c r="D41" s="118" t="s">
        <v>263</v>
      </c>
      <c r="E41" s="113" t="s">
        <v>264</v>
      </c>
      <c r="F41" s="113" t="s">
        <v>241</v>
      </c>
      <c r="G41" s="114" t="s">
        <v>265</v>
      </c>
      <c r="H41" s="119" t="s">
        <v>34</v>
      </c>
      <c r="I41" s="114">
        <f t="shared" si="1"/>
        <v>1969</v>
      </c>
      <c r="J41" s="114">
        <v>56</v>
      </c>
      <c r="K41" s="114">
        <v>5.5</v>
      </c>
      <c r="L41" s="120" t="s">
        <v>211</v>
      </c>
      <c r="M41" s="117" t="s">
        <v>248</v>
      </c>
      <c r="N41" s="114" t="s">
        <v>48</v>
      </c>
      <c r="O41" s="114" t="s">
        <v>249</v>
      </c>
      <c r="P41" s="114"/>
      <c r="Q41" s="119"/>
      <c r="R41" s="114"/>
      <c r="S41" s="114"/>
      <c r="T41" s="40" t="s">
        <v>244</v>
      </c>
    </row>
    <row r="42" spans="1:20">
      <c r="A42" s="40">
        <v>41</v>
      </c>
      <c r="B42" s="40" t="s">
        <v>266</v>
      </c>
      <c r="C42" s="42" t="s">
        <v>262</v>
      </c>
      <c r="D42" s="41" t="s">
        <v>263</v>
      </c>
      <c r="E42" s="42" t="s">
        <v>267</v>
      </c>
      <c r="F42" s="42" t="s">
        <v>241</v>
      </c>
      <c r="G42" s="40" t="s">
        <v>268</v>
      </c>
      <c r="H42" s="43" t="s">
        <v>173</v>
      </c>
      <c r="I42" s="40">
        <f t="shared" si="1"/>
        <v>1965</v>
      </c>
      <c r="J42" s="40">
        <v>60</v>
      </c>
      <c r="K42" s="40">
        <v>4.7</v>
      </c>
      <c r="L42" s="44"/>
      <c r="M42" s="76" t="s">
        <v>269</v>
      </c>
      <c r="N42" s="40" t="s">
        <v>48</v>
      </c>
      <c r="O42" s="40" t="s">
        <v>168</v>
      </c>
      <c r="P42" s="40"/>
      <c r="Q42" s="43"/>
      <c r="R42" s="40"/>
      <c r="S42" s="40"/>
      <c r="T42" s="40" t="s">
        <v>244</v>
      </c>
    </row>
    <row r="43" spans="1:20">
      <c r="A43" s="110">
        <v>42</v>
      </c>
      <c r="B43" s="110" t="s">
        <v>270</v>
      </c>
      <c r="C43" s="111" t="s">
        <v>262</v>
      </c>
      <c r="D43" s="112" t="s">
        <v>263</v>
      </c>
      <c r="E43" s="113" t="s">
        <v>271</v>
      </c>
      <c r="F43" s="113" t="s">
        <v>241</v>
      </c>
      <c r="G43" s="114" t="s">
        <v>272</v>
      </c>
      <c r="H43" s="115" t="s">
        <v>34</v>
      </c>
      <c r="I43" s="110">
        <f t="shared" si="1"/>
        <v>1965</v>
      </c>
      <c r="J43" s="110">
        <v>60</v>
      </c>
      <c r="K43" s="110">
        <v>5.6</v>
      </c>
      <c r="L43" s="116"/>
      <c r="M43" s="117" t="s">
        <v>273</v>
      </c>
      <c r="N43" s="114" t="s">
        <v>274</v>
      </c>
      <c r="O43" s="114"/>
      <c r="P43" s="114"/>
      <c r="Q43" s="115"/>
      <c r="R43" s="110"/>
      <c r="S43" s="110"/>
      <c r="T43" s="40" t="s">
        <v>244</v>
      </c>
    </row>
    <row r="44" spans="1:20">
      <c r="A44" s="50">
        <v>43</v>
      </c>
      <c r="B44" s="50" t="s">
        <v>275</v>
      </c>
      <c r="C44" s="49" t="s">
        <v>263</v>
      </c>
      <c r="D44" s="47" t="s">
        <v>276</v>
      </c>
      <c r="E44" s="42" t="s">
        <v>277</v>
      </c>
      <c r="F44" s="42" t="s">
        <v>241</v>
      </c>
      <c r="G44" s="40" t="s">
        <v>278</v>
      </c>
      <c r="H44" s="43" t="s">
        <v>34</v>
      </c>
      <c r="I44" s="50">
        <f t="shared" si="1"/>
        <v>1952</v>
      </c>
      <c r="J44" s="50">
        <v>73</v>
      </c>
      <c r="K44" s="50">
        <v>5</v>
      </c>
      <c r="L44" s="62"/>
      <c r="M44" s="76" t="s">
        <v>279</v>
      </c>
      <c r="N44" s="40" t="s">
        <v>48</v>
      </c>
      <c r="O44" s="40" t="s">
        <v>62</v>
      </c>
      <c r="P44" s="40"/>
      <c r="Q44" s="64"/>
      <c r="R44" s="50"/>
      <c r="S44" s="50"/>
      <c r="T44" s="40" t="s">
        <v>244</v>
      </c>
    </row>
    <row r="45" spans="1:20">
      <c r="A45" s="51">
        <v>44</v>
      </c>
      <c r="B45" s="51" t="s">
        <v>280</v>
      </c>
      <c r="C45" s="52" t="s">
        <v>263</v>
      </c>
      <c r="D45" s="67" t="s">
        <v>276</v>
      </c>
      <c r="E45" s="42" t="s">
        <v>281</v>
      </c>
      <c r="F45" s="42" t="s">
        <v>241</v>
      </c>
      <c r="G45" s="40" t="s">
        <v>282</v>
      </c>
      <c r="H45" s="48" t="s">
        <v>173</v>
      </c>
      <c r="I45" s="51">
        <f t="shared" si="1"/>
        <v>1952</v>
      </c>
      <c r="J45" s="51">
        <v>73</v>
      </c>
      <c r="K45" s="51">
        <v>5.2</v>
      </c>
      <c r="L45" s="63"/>
      <c r="M45" s="77" t="s">
        <v>259</v>
      </c>
      <c r="N45" s="40" t="s">
        <v>48</v>
      </c>
      <c r="O45" s="40" t="s">
        <v>49</v>
      </c>
      <c r="P45" s="40"/>
      <c r="Q45" s="65"/>
      <c r="R45" s="51"/>
      <c r="S45" s="51"/>
      <c r="T45" s="40" t="s">
        <v>244</v>
      </c>
    </row>
    <row r="46" spans="1:20">
      <c r="A46" s="40">
        <v>45</v>
      </c>
      <c r="B46" s="40" t="s">
        <v>283</v>
      </c>
      <c r="C46" s="42" t="s">
        <v>276</v>
      </c>
      <c r="D46" s="41" t="s">
        <v>284</v>
      </c>
      <c r="E46" s="42" t="s">
        <v>285</v>
      </c>
      <c r="F46" s="42" t="s">
        <v>241</v>
      </c>
      <c r="G46" s="40" t="s">
        <v>286</v>
      </c>
      <c r="H46" s="43" t="s">
        <v>34</v>
      </c>
      <c r="I46" s="40">
        <f t="shared" si="1"/>
        <v>1967</v>
      </c>
      <c r="J46" s="40">
        <v>58</v>
      </c>
      <c r="K46" s="40">
        <v>5.9</v>
      </c>
      <c r="L46" s="44" t="s">
        <v>196</v>
      </c>
      <c r="M46" s="76" t="s">
        <v>269</v>
      </c>
      <c r="N46" s="40" t="s">
        <v>48</v>
      </c>
      <c r="O46" s="40" t="s">
        <v>168</v>
      </c>
      <c r="P46" s="40"/>
      <c r="Q46" s="43"/>
      <c r="R46" s="40"/>
      <c r="S46" s="40"/>
      <c r="T46" s="40" t="s">
        <v>244</v>
      </c>
    </row>
    <row r="47" spans="1:20">
      <c r="A47" s="86">
        <v>46</v>
      </c>
      <c r="B47" s="92" t="s">
        <v>287</v>
      </c>
      <c r="C47" s="108" t="s">
        <v>276</v>
      </c>
      <c r="D47" s="109" t="s">
        <v>284</v>
      </c>
      <c r="E47" s="88" t="s">
        <v>288</v>
      </c>
      <c r="F47" s="88" t="s">
        <v>241</v>
      </c>
      <c r="G47" s="86" t="s">
        <v>289</v>
      </c>
      <c r="H47" s="91" t="s">
        <v>34</v>
      </c>
      <c r="I47" s="92">
        <f t="shared" si="1"/>
        <v>1963</v>
      </c>
      <c r="J47" s="92">
        <v>62</v>
      </c>
      <c r="K47" s="92">
        <v>4.8</v>
      </c>
      <c r="L47" s="90" t="s">
        <v>290</v>
      </c>
      <c r="M47" s="106" t="s">
        <v>291</v>
      </c>
      <c r="N47" s="86" t="s">
        <v>292</v>
      </c>
      <c r="O47" s="86"/>
      <c r="P47" s="86"/>
      <c r="Q47" s="91"/>
      <c r="R47" s="92"/>
      <c r="S47" s="92"/>
      <c r="T47" s="46" t="s">
        <v>293</v>
      </c>
    </row>
    <row r="48" spans="1:20">
      <c r="A48" s="53">
        <v>47</v>
      </c>
      <c r="B48" s="40" t="s">
        <v>294</v>
      </c>
      <c r="C48" s="42" t="s">
        <v>284</v>
      </c>
      <c r="D48" s="41" t="s">
        <v>295</v>
      </c>
      <c r="E48" s="42" t="s">
        <v>296</v>
      </c>
      <c r="F48" s="42" t="s">
        <v>241</v>
      </c>
      <c r="G48" s="40" t="s">
        <v>297</v>
      </c>
      <c r="H48" s="43" t="s">
        <v>34</v>
      </c>
      <c r="I48" s="40">
        <f t="shared" si="1"/>
        <v>1965</v>
      </c>
      <c r="J48" s="43">
        <v>60</v>
      </c>
      <c r="K48" s="40">
        <v>5.0999999999999996</v>
      </c>
      <c r="L48" s="44" t="s">
        <v>211</v>
      </c>
      <c r="M48" s="82" t="s">
        <v>298</v>
      </c>
      <c r="N48" s="46" t="s">
        <v>48</v>
      </c>
      <c r="O48" s="46" t="s">
        <v>75</v>
      </c>
      <c r="P48" s="40"/>
      <c r="Q48" s="43"/>
      <c r="R48" s="40"/>
      <c r="S48" s="40"/>
      <c r="T48" s="40" t="s">
        <v>244</v>
      </c>
    </row>
    <row r="49" spans="1:20" ht="30.75">
      <c r="A49" s="44">
        <v>48</v>
      </c>
      <c r="B49" s="40" t="s">
        <v>299</v>
      </c>
      <c r="C49" s="42" t="s">
        <v>284</v>
      </c>
      <c r="D49" s="41" t="s">
        <v>295</v>
      </c>
      <c r="E49" s="42" t="s">
        <v>300</v>
      </c>
      <c r="F49" s="42" t="s">
        <v>241</v>
      </c>
      <c r="G49" s="40" t="s">
        <v>301</v>
      </c>
      <c r="H49" s="43" t="s">
        <v>173</v>
      </c>
      <c r="I49" s="40">
        <f t="shared" si="1"/>
        <v>1979</v>
      </c>
      <c r="J49" s="48">
        <v>46</v>
      </c>
      <c r="K49" s="46"/>
      <c r="L49" s="56" t="s">
        <v>81</v>
      </c>
      <c r="M49" s="77" t="s">
        <v>302</v>
      </c>
      <c r="N49" s="40" t="s">
        <v>274</v>
      </c>
      <c r="O49" s="40" t="s">
        <v>303</v>
      </c>
      <c r="P49" s="43"/>
      <c r="Q49" s="48"/>
      <c r="R49" s="46"/>
      <c r="S49" s="46"/>
      <c r="T49" s="40" t="s">
        <v>244</v>
      </c>
    </row>
    <row r="50" spans="1:20">
      <c r="A50" s="19">
        <v>49</v>
      </c>
      <c r="B50" s="3" t="s">
        <v>304</v>
      </c>
      <c r="C50" s="7" t="s">
        <v>284</v>
      </c>
      <c r="D50" s="13" t="s">
        <v>295</v>
      </c>
      <c r="E50" s="7" t="s">
        <v>305</v>
      </c>
      <c r="F50" s="7" t="s">
        <v>32</v>
      </c>
      <c r="G50" s="3" t="s">
        <v>306</v>
      </c>
      <c r="H50" s="8" t="s">
        <v>173</v>
      </c>
      <c r="I50" s="3">
        <f t="shared" si="1"/>
        <v>1962</v>
      </c>
      <c r="J50" s="8">
        <v>63</v>
      </c>
      <c r="K50" s="3">
        <v>4.7</v>
      </c>
      <c r="L50" s="19" t="s">
        <v>174</v>
      </c>
      <c r="M50" s="107" t="s">
        <v>307</v>
      </c>
      <c r="N50" s="68" t="s">
        <v>48</v>
      </c>
      <c r="O50" s="68" t="s">
        <v>75</v>
      </c>
      <c r="P50" s="3"/>
      <c r="Q50" s="8"/>
      <c r="R50" s="3"/>
      <c r="S50" s="3"/>
      <c r="T50" s="3"/>
    </row>
    <row r="51" spans="1:20">
      <c r="A51" s="19">
        <v>50</v>
      </c>
      <c r="B51" s="3" t="s">
        <v>308</v>
      </c>
      <c r="C51" s="7" t="s">
        <v>284</v>
      </c>
      <c r="D51" s="13" t="s">
        <v>295</v>
      </c>
      <c r="E51" s="7" t="s">
        <v>309</v>
      </c>
      <c r="F51" s="7" t="s">
        <v>32</v>
      </c>
      <c r="G51" s="3" t="s">
        <v>310</v>
      </c>
      <c r="H51" s="8" t="s">
        <v>34</v>
      </c>
      <c r="I51" s="3">
        <f t="shared" si="1"/>
        <v>1962</v>
      </c>
      <c r="J51" s="8">
        <v>63</v>
      </c>
      <c r="K51" s="3">
        <v>4</v>
      </c>
      <c r="L51" s="19" t="s">
        <v>96</v>
      </c>
      <c r="M51" s="73" t="s">
        <v>189</v>
      </c>
      <c r="N51" s="3" t="s">
        <v>48</v>
      </c>
      <c r="O51" s="3" t="s">
        <v>62</v>
      </c>
      <c r="P51" s="3"/>
      <c r="Q51" s="8"/>
      <c r="R51" s="3"/>
      <c r="S51" s="3"/>
      <c r="T51" s="3"/>
    </row>
    <row r="52" spans="1:20">
      <c r="A52" s="44">
        <v>51</v>
      </c>
      <c r="B52" s="40" t="s">
        <v>311</v>
      </c>
      <c r="C52" s="42" t="s">
        <v>312</v>
      </c>
      <c r="D52" s="44"/>
      <c r="E52" s="40" t="s">
        <v>313</v>
      </c>
      <c r="F52" s="40" t="s">
        <v>241</v>
      </c>
      <c r="G52" s="40" t="s">
        <v>314</v>
      </c>
      <c r="H52" s="43" t="s">
        <v>173</v>
      </c>
      <c r="I52" s="40">
        <f>2025-J52</f>
        <v>1965</v>
      </c>
      <c r="J52" s="43">
        <v>60</v>
      </c>
      <c r="K52" s="40">
        <v>4.4000000000000004</v>
      </c>
      <c r="L52" s="44" t="s">
        <v>81</v>
      </c>
      <c r="M52" s="77" t="s">
        <v>259</v>
      </c>
      <c r="N52" s="40" t="s">
        <v>48</v>
      </c>
      <c r="O52" s="40" t="s">
        <v>49</v>
      </c>
      <c r="P52" s="40"/>
      <c r="Q52" s="43"/>
      <c r="R52" s="40"/>
      <c r="S52" s="40"/>
      <c r="T52" s="40" t="s">
        <v>244</v>
      </c>
    </row>
    <row r="53" spans="1:20">
      <c r="A53" s="44">
        <v>52</v>
      </c>
      <c r="B53" s="40" t="s">
        <v>315</v>
      </c>
      <c r="C53" s="42" t="s">
        <v>312</v>
      </c>
      <c r="D53" s="44"/>
      <c r="E53" s="40" t="s">
        <v>316</v>
      </c>
      <c r="F53" s="40" t="s">
        <v>241</v>
      </c>
      <c r="G53" s="40" t="s">
        <v>317</v>
      </c>
      <c r="H53" s="43" t="s">
        <v>173</v>
      </c>
      <c r="I53" s="40">
        <f>2025-J53</f>
        <v>1952</v>
      </c>
      <c r="J53" s="43">
        <v>73</v>
      </c>
      <c r="K53" s="40">
        <v>5</v>
      </c>
      <c r="L53" s="44" t="s">
        <v>211</v>
      </c>
      <c r="M53" s="76" t="s">
        <v>318</v>
      </c>
      <c r="N53" s="40" t="s">
        <v>48</v>
      </c>
      <c r="O53" s="40" t="s">
        <v>127</v>
      </c>
      <c r="P53" s="40"/>
      <c r="Q53" s="43"/>
      <c r="R53" s="40"/>
      <c r="S53" s="40"/>
      <c r="T53" s="40" t="s">
        <v>244</v>
      </c>
    </row>
    <row r="54" spans="1:20">
      <c r="A54" s="44">
        <v>53</v>
      </c>
      <c r="B54" s="40" t="s">
        <v>319</v>
      </c>
      <c r="C54" s="42" t="s">
        <v>320</v>
      </c>
      <c r="D54" s="55" t="s">
        <v>321</v>
      </c>
      <c r="E54" s="54" t="s">
        <v>322</v>
      </c>
      <c r="F54" s="54" t="s">
        <v>241</v>
      </c>
      <c r="G54" s="40" t="s">
        <v>323</v>
      </c>
      <c r="H54" s="43" t="s">
        <v>34</v>
      </c>
      <c r="I54" s="40">
        <v>1956</v>
      </c>
      <c r="J54" s="43">
        <f>2025-I54</f>
        <v>69</v>
      </c>
      <c r="K54" s="40">
        <v>3.7</v>
      </c>
      <c r="L54" s="44" t="s">
        <v>211</v>
      </c>
      <c r="M54" s="76" t="s">
        <v>324</v>
      </c>
      <c r="N54" s="40" t="s">
        <v>48</v>
      </c>
      <c r="O54" s="40" t="s">
        <v>127</v>
      </c>
      <c r="P54" s="40"/>
      <c r="Q54" s="43"/>
      <c r="R54" s="40"/>
      <c r="S54" s="40"/>
      <c r="T54" s="40" t="s">
        <v>244</v>
      </c>
    </row>
    <row r="55" spans="1:20">
      <c r="A55" s="44">
        <v>54</v>
      </c>
      <c r="B55" s="40" t="s">
        <v>325</v>
      </c>
      <c r="C55" s="42" t="s">
        <v>320</v>
      </c>
      <c r="D55" s="55" t="s">
        <v>321</v>
      </c>
      <c r="E55" s="54" t="s">
        <v>326</v>
      </c>
      <c r="F55" s="54" t="s">
        <v>241</v>
      </c>
      <c r="G55" s="40" t="s">
        <v>327</v>
      </c>
      <c r="H55" s="43" t="s">
        <v>34</v>
      </c>
      <c r="I55" s="40">
        <v>1956</v>
      </c>
      <c r="J55" s="43">
        <f>2025-I55</f>
        <v>69</v>
      </c>
      <c r="K55" s="40">
        <v>5</v>
      </c>
      <c r="L55" s="44" t="s">
        <v>211</v>
      </c>
      <c r="M55" s="76" t="s">
        <v>318</v>
      </c>
      <c r="N55" s="40" t="s">
        <v>48</v>
      </c>
      <c r="O55" s="40" t="s">
        <v>127</v>
      </c>
      <c r="P55" s="40"/>
      <c r="Q55" s="43"/>
      <c r="R55" s="40"/>
      <c r="S55" s="40"/>
      <c r="T55" s="40" t="s">
        <v>244</v>
      </c>
    </row>
    <row r="56" spans="1:20">
      <c r="A56" s="44">
        <v>55</v>
      </c>
      <c r="B56" s="40" t="s">
        <v>328</v>
      </c>
      <c r="C56" s="42" t="s">
        <v>321</v>
      </c>
      <c r="D56" s="41" t="s">
        <v>329</v>
      </c>
      <c r="E56" s="42" t="s">
        <v>330</v>
      </c>
      <c r="F56" s="42" t="s">
        <v>241</v>
      </c>
      <c r="G56" s="40" t="s">
        <v>331</v>
      </c>
      <c r="H56" s="43" t="s">
        <v>173</v>
      </c>
      <c r="I56" s="40">
        <v>1954</v>
      </c>
      <c r="J56" s="43">
        <f>2025-I56</f>
        <v>71</v>
      </c>
      <c r="K56" s="40">
        <v>5.5</v>
      </c>
      <c r="L56" s="44" t="s">
        <v>211</v>
      </c>
      <c r="M56" s="76" t="s">
        <v>68</v>
      </c>
      <c r="N56" s="40" t="s">
        <v>48</v>
      </c>
      <c r="O56" s="40" t="s">
        <v>69</v>
      </c>
      <c r="P56" s="40"/>
      <c r="Q56" s="43"/>
      <c r="R56" s="40"/>
      <c r="S56" s="40"/>
      <c r="T56" s="40" t="s">
        <v>244</v>
      </c>
    </row>
    <row r="57" spans="1:20">
      <c r="A57" s="19">
        <v>56</v>
      </c>
      <c r="B57" s="3" t="s">
        <v>332</v>
      </c>
      <c r="C57" s="7" t="s">
        <v>321</v>
      </c>
      <c r="D57" s="13" t="s">
        <v>329</v>
      </c>
      <c r="E57" s="7" t="s">
        <v>333</v>
      </c>
      <c r="F57" s="7" t="s">
        <v>32</v>
      </c>
      <c r="G57" s="3" t="s">
        <v>334</v>
      </c>
      <c r="H57" s="8" t="s">
        <v>173</v>
      </c>
      <c r="I57" s="3">
        <v>1954</v>
      </c>
      <c r="J57" s="8">
        <f>2025-I57</f>
        <v>71</v>
      </c>
      <c r="K57" s="3">
        <v>4.5</v>
      </c>
      <c r="L57" s="19" t="s">
        <v>96</v>
      </c>
      <c r="M57" s="73" t="s">
        <v>335</v>
      </c>
      <c r="N57" s="3" t="s">
        <v>48</v>
      </c>
      <c r="O57" s="3" t="s">
        <v>55</v>
      </c>
      <c r="P57" s="3"/>
      <c r="Q57" s="8"/>
      <c r="R57" s="3"/>
      <c r="S57" s="3"/>
      <c r="T57" s="3"/>
    </row>
    <row r="58" spans="1:20">
      <c r="A58" s="44">
        <v>57</v>
      </c>
      <c r="B58" s="40" t="s">
        <v>336</v>
      </c>
      <c r="C58" s="42" t="s">
        <v>329</v>
      </c>
      <c r="D58" s="41" t="s">
        <v>337</v>
      </c>
      <c r="E58" s="42" t="s">
        <v>338</v>
      </c>
      <c r="F58" s="42" t="s">
        <v>241</v>
      </c>
      <c r="G58" s="40" t="s">
        <v>339</v>
      </c>
      <c r="H58" s="43" t="s">
        <v>173</v>
      </c>
      <c r="I58" s="40">
        <v>1970</v>
      </c>
      <c r="J58" s="48">
        <f>2025-I58</f>
        <v>55</v>
      </c>
      <c r="K58" s="46">
        <v>5</v>
      </c>
      <c r="L58" s="56" t="s">
        <v>211</v>
      </c>
      <c r="M58" s="76" t="s">
        <v>340</v>
      </c>
      <c r="N58" s="40" t="s">
        <v>48</v>
      </c>
      <c r="O58" s="40" t="s">
        <v>127</v>
      </c>
      <c r="P58" s="40"/>
      <c r="Q58" s="48"/>
      <c r="R58" s="46"/>
      <c r="S58" s="46"/>
      <c r="T58" s="40" t="s">
        <v>244</v>
      </c>
    </row>
    <row r="59" spans="1:20">
      <c r="A59" s="44">
        <v>58</v>
      </c>
      <c r="B59" s="40" t="s">
        <v>341</v>
      </c>
      <c r="C59" s="42" t="s">
        <v>337</v>
      </c>
      <c r="D59" s="47" t="s">
        <v>342</v>
      </c>
      <c r="E59" s="42" t="s">
        <v>343</v>
      </c>
      <c r="F59" s="42" t="s">
        <v>241</v>
      </c>
      <c r="G59" s="40" t="s">
        <v>344</v>
      </c>
      <c r="H59" s="48" t="s">
        <v>173</v>
      </c>
      <c r="I59" s="46">
        <f>2025-J59</f>
        <v>1968</v>
      </c>
      <c r="J59" s="48">
        <v>57</v>
      </c>
      <c r="K59" s="46">
        <v>5</v>
      </c>
      <c r="L59" s="56" t="s">
        <v>211</v>
      </c>
      <c r="M59" s="76" t="s">
        <v>211</v>
      </c>
      <c r="N59" s="40" t="s">
        <v>48</v>
      </c>
      <c r="O59" s="40" t="s">
        <v>168</v>
      </c>
      <c r="P59" s="40"/>
      <c r="Q59" s="48"/>
      <c r="R59" s="46"/>
      <c r="S59" s="46"/>
      <c r="T59" s="40" t="s">
        <v>244</v>
      </c>
    </row>
    <row r="60" spans="1:20">
      <c r="A60" s="44">
        <v>59</v>
      </c>
      <c r="B60" s="40" t="s">
        <v>345</v>
      </c>
      <c r="C60" s="41" t="s">
        <v>337</v>
      </c>
      <c r="D60" s="41" t="s">
        <v>342</v>
      </c>
      <c r="E60" s="42" t="s">
        <v>346</v>
      </c>
      <c r="F60" s="42" t="s">
        <v>241</v>
      </c>
      <c r="G60" s="40" t="s">
        <v>347</v>
      </c>
      <c r="H60" s="43" t="s">
        <v>34</v>
      </c>
      <c r="I60" s="40">
        <f>2025-J60</f>
        <v>1977</v>
      </c>
      <c r="J60" s="40">
        <v>48</v>
      </c>
      <c r="K60" s="40">
        <v>4.5</v>
      </c>
      <c r="L60" s="44" t="s">
        <v>211</v>
      </c>
      <c r="M60" s="76" t="s">
        <v>73</v>
      </c>
      <c r="N60" s="40" t="s">
        <v>48</v>
      </c>
      <c r="O60" s="40" t="s">
        <v>127</v>
      </c>
      <c r="P60" s="40"/>
      <c r="Q60" s="43"/>
      <c r="R60" s="40"/>
      <c r="S60" s="40"/>
      <c r="T60" s="40" t="s">
        <v>244</v>
      </c>
    </row>
    <row r="61" spans="1:20">
      <c r="A61" s="44">
        <v>60</v>
      </c>
      <c r="B61" s="40" t="s">
        <v>348</v>
      </c>
      <c r="C61" s="41" t="s">
        <v>337</v>
      </c>
      <c r="D61" s="41" t="s">
        <v>342</v>
      </c>
      <c r="E61" s="42" t="s">
        <v>349</v>
      </c>
      <c r="F61" s="42" t="s">
        <v>241</v>
      </c>
      <c r="G61" s="40" t="s">
        <v>350</v>
      </c>
      <c r="H61" s="43" t="s">
        <v>173</v>
      </c>
      <c r="I61" s="40">
        <f>2025-J61</f>
        <v>1943</v>
      </c>
      <c r="J61" s="40">
        <v>82</v>
      </c>
      <c r="K61" s="40">
        <v>5.6</v>
      </c>
      <c r="L61" s="44" t="s">
        <v>211</v>
      </c>
      <c r="M61" s="77" t="s">
        <v>351</v>
      </c>
      <c r="N61" s="40" t="s">
        <v>48</v>
      </c>
      <c r="O61" s="40" t="s">
        <v>49</v>
      </c>
      <c r="P61" s="40"/>
      <c r="Q61" s="43"/>
      <c r="R61" s="40"/>
      <c r="S61" s="40"/>
      <c r="T61" s="40" t="s">
        <v>244</v>
      </c>
    </row>
    <row r="62" spans="1:20">
      <c r="A62" s="44">
        <v>61</v>
      </c>
      <c r="B62" s="40" t="s">
        <v>352</v>
      </c>
      <c r="C62" s="47" t="s">
        <v>353</v>
      </c>
      <c r="D62" s="57" t="s">
        <v>354</v>
      </c>
      <c r="E62" s="54" t="s">
        <v>355</v>
      </c>
      <c r="F62" s="54" t="s">
        <v>241</v>
      </c>
      <c r="G62" s="40" t="s">
        <v>356</v>
      </c>
      <c r="H62" s="48" t="s">
        <v>34</v>
      </c>
      <c r="I62" s="46">
        <f>2025-J62</f>
        <v>1967</v>
      </c>
      <c r="J62" s="46">
        <v>58</v>
      </c>
      <c r="K62" s="46">
        <v>4.4000000000000004</v>
      </c>
      <c r="L62" s="56" t="s">
        <v>211</v>
      </c>
      <c r="M62" s="76" t="s">
        <v>357</v>
      </c>
      <c r="N62" s="40" t="s">
        <v>48</v>
      </c>
      <c r="O62" s="40" t="s">
        <v>127</v>
      </c>
      <c r="P62" s="40"/>
      <c r="Q62" s="48"/>
      <c r="R62" s="46"/>
      <c r="S62" s="46"/>
      <c r="T62" s="40" t="s">
        <v>244</v>
      </c>
    </row>
    <row r="63" spans="1:20">
      <c r="A63" s="44">
        <v>62</v>
      </c>
      <c r="B63" s="44" t="s">
        <v>358</v>
      </c>
      <c r="C63" s="44" t="s">
        <v>354</v>
      </c>
      <c r="D63" s="57" t="s">
        <v>359</v>
      </c>
      <c r="E63" s="54" t="s">
        <v>360</v>
      </c>
      <c r="F63" s="54" t="s">
        <v>241</v>
      </c>
      <c r="G63" s="40" t="s">
        <v>361</v>
      </c>
      <c r="H63" s="43" t="s">
        <v>34</v>
      </c>
      <c r="I63" s="40">
        <f>2025-J63</f>
        <v>1958</v>
      </c>
      <c r="J63" s="40">
        <v>67</v>
      </c>
      <c r="K63" s="40">
        <v>3.3</v>
      </c>
      <c r="L63" s="44" t="s">
        <v>211</v>
      </c>
      <c r="M63" s="76" t="s">
        <v>102</v>
      </c>
      <c r="N63" s="40" t="s">
        <v>48</v>
      </c>
      <c r="O63" s="40" t="s">
        <v>62</v>
      </c>
      <c r="P63" s="40"/>
      <c r="Q63" s="43"/>
      <c r="R63" s="40"/>
      <c r="S63" s="40"/>
      <c r="T63" s="43" t="s">
        <v>362</v>
      </c>
    </row>
    <row r="64" spans="1:20">
      <c r="A64" s="44">
        <v>63</v>
      </c>
      <c r="B64" s="44" t="s">
        <v>363</v>
      </c>
      <c r="C64" s="44" t="s">
        <v>354</v>
      </c>
      <c r="D64" s="57" t="s">
        <v>359</v>
      </c>
      <c r="E64" s="54" t="s">
        <v>364</v>
      </c>
      <c r="F64" s="54" t="s">
        <v>241</v>
      </c>
      <c r="G64" s="40" t="s">
        <v>365</v>
      </c>
      <c r="H64" s="48" t="s">
        <v>34</v>
      </c>
      <c r="I64" s="46">
        <f>2025-J64</f>
        <v>1948</v>
      </c>
      <c r="J64" s="46">
        <v>77</v>
      </c>
      <c r="K64" s="46">
        <v>4.4000000000000004</v>
      </c>
      <c r="L64" s="56" t="s">
        <v>211</v>
      </c>
      <c r="M64" s="76" t="s">
        <v>81</v>
      </c>
      <c r="N64" s="40" t="s">
        <v>48</v>
      </c>
      <c r="O64" s="40" t="s">
        <v>55</v>
      </c>
      <c r="P64" s="40"/>
      <c r="Q64" s="48"/>
      <c r="R64" s="46"/>
      <c r="S64" s="46"/>
      <c r="T64" s="40" t="s">
        <v>244</v>
      </c>
    </row>
    <row r="65" spans="1:20">
      <c r="A65" s="44">
        <v>64</v>
      </c>
      <c r="B65" s="44" t="s">
        <v>366</v>
      </c>
      <c r="C65" s="55" t="s">
        <v>359</v>
      </c>
      <c r="D65" s="55" t="s">
        <v>367</v>
      </c>
      <c r="E65" s="54" t="s">
        <v>368</v>
      </c>
      <c r="F65" s="54" t="s">
        <v>241</v>
      </c>
      <c r="G65" s="40" t="s">
        <v>369</v>
      </c>
      <c r="H65" s="48" t="s">
        <v>34</v>
      </c>
      <c r="I65" s="46">
        <f>2025-J65</f>
        <v>1960</v>
      </c>
      <c r="J65" s="46">
        <v>65</v>
      </c>
      <c r="K65" s="40">
        <v>4</v>
      </c>
      <c r="L65" s="56" t="s">
        <v>81</v>
      </c>
      <c r="M65" s="76" t="s">
        <v>357</v>
      </c>
      <c r="N65" s="40" t="s">
        <v>48</v>
      </c>
      <c r="O65" s="40" t="s">
        <v>127</v>
      </c>
      <c r="P65" s="40"/>
      <c r="Q65" s="43"/>
      <c r="R65" s="40"/>
      <c r="S65" s="40"/>
      <c r="T65" s="40" t="s">
        <v>244</v>
      </c>
    </row>
    <row r="66" spans="1:20">
      <c r="A66" s="44">
        <v>65</v>
      </c>
      <c r="B66" s="44" t="s">
        <v>370</v>
      </c>
      <c r="C66" s="55" t="s">
        <v>359</v>
      </c>
      <c r="D66" s="55" t="s">
        <v>367</v>
      </c>
      <c r="E66" s="54" t="s">
        <v>371</v>
      </c>
      <c r="F66" s="54" t="s">
        <v>241</v>
      </c>
      <c r="G66" s="40" t="s">
        <v>372</v>
      </c>
      <c r="H66" s="43" t="s">
        <v>34</v>
      </c>
      <c r="I66" s="40">
        <f>2025-J66</f>
        <v>1982</v>
      </c>
      <c r="J66" s="40">
        <v>43</v>
      </c>
      <c r="K66" s="43">
        <v>3.5</v>
      </c>
      <c r="L66" s="56" t="s">
        <v>81</v>
      </c>
      <c r="M66" s="76" t="s">
        <v>68</v>
      </c>
      <c r="N66" s="40" t="s">
        <v>48</v>
      </c>
      <c r="O66" s="40" t="s">
        <v>69</v>
      </c>
      <c r="P66" s="40"/>
      <c r="Q66" s="43"/>
      <c r="R66" s="40"/>
      <c r="S66" s="40"/>
      <c r="T66" s="40" t="s">
        <v>244</v>
      </c>
    </row>
    <row r="67" spans="1:20">
      <c r="A67" s="44">
        <v>66</v>
      </c>
      <c r="B67" s="44" t="s">
        <v>373</v>
      </c>
      <c r="C67" s="55" t="s">
        <v>359</v>
      </c>
      <c r="D67" s="55" t="s">
        <v>367</v>
      </c>
      <c r="E67" s="54" t="s">
        <v>374</v>
      </c>
      <c r="F67" s="54" t="s">
        <v>241</v>
      </c>
      <c r="G67" s="40" t="s">
        <v>375</v>
      </c>
      <c r="H67" s="43" t="s">
        <v>173</v>
      </c>
      <c r="I67" s="40">
        <f>2025-J67</f>
        <v>1938</v>
      </c>
      <c r="J67" s="40">
        <v>87</v>
      </c>
      <c r="K67" s="43">
        <v>5.4</v>
      </c>
      <c r="L67" s="40"/>
      <c r="M67" s="148" t="s">
        <v>376</v>
      </c>
      <c r="N67" s="59" t="s">
        <v>377</v>
      </c>
      <c r="O67" s="59" t="s">
        <v>38</v>
      </c>
      <c r="P67" s="59"/>
      <c r="Q67" s="40"/>
      <c r="R67" s="40"/>
      <c r="S67" s="40"/>
      <c r="T67" s="40" t="s">
        <v>244</v>
      </c>
    </row>
    <row r="68" spans="1:20">
      <c r="A68" s="44">
        <v>67</v>
      </c>
      <c r="B68" s="44" t="s">
        <v>378</v>
      </c>
      <c r="C68" s="55" t="s">
        <v>359</v>
      </c>
      <c r="D68" s="55" t="s">
        <v>367</v>
      </c>
      <c r="E68" s="54" t="s">
        <v>379</v>
      </c>
      <c r="F68" s="54" t="s">
        <v>241</v>
      </c>
      <c r="G68" s="40" t="s">
        <v>380</v>
      </c>
      <c r="H68" s="43" t="s">
        <v>173</v>
      </c>
      <c r="I68" s="40">
        <f>2025-J68</f>
        <v>1966</v>
      </c>
      <c r="J68" s="40">
        <v>59</v>
      </c>
      <c r="K68" s="43">
        <v>4.5</v>
      </c>
      <c r="L68" s="40"/>
      <c r="M68" s="76" t="s">
        <v>279</v>
      </c>
      <c r="N68" s="59" t="s">
        <v>48</v>
      </c>
      <c r="O68" s="40" t="s">
        <v>62</v>
      </c>
      <c r="P68" s="40"/>
      <c r="Q68" s="40"/>
      <c r="R68" s="40"/>
      <c r="S68" s="40"/>
      <c r="T68" s="40" t="s">
        <v>244</v>
      </c>
    </row>
    <row r="69" spans="1:20">
      <c r="A69" s="44">
        <v>68</v>
      </c>
      <c r="B69" s="56" t="s">
        <v>381</v>
      </c>
      <c r="C69" s="57" t="s">
        <v>359</v>
      </c>
      <c r="D69" s="57" t="s">
        <v>367</v>
      </c>
      <c r="E69" s="54" t="s">
        <v>382</v>
      </c>
      <c r="F69" s="54" t="s">
        <v>241</v>
      </c>
      <c r="G69" s="40" t="s">
        <v>383</v>
      </c>
      <c r="H69" s="48" t="s">
        <v>173</v>
      </c>
      <c r="I69" s="46">
        <f>2025-J69</f>
        <v>1965</v>
      </c>
      <c r="J69" s="46">
        <v>60</v>
      </c>
      <c r="K69" s="48">
        <v>4</v>
      </c>
      <c r="L69" s="46"/>
      <c r="M69" s="75" t="s">
        <v>324</v>
      </c>
      <c r="N69" s="59" t="s">
        <v>48</v>
      </c>
      <c r="O69" s="46" t="s">
        <v>127</v>
      </c>
      <c r="P69" s="46"/>
      <c r="Q69" s="46"/>
      <c r="R69" s="46"/>
      <c r="S69" s="46"/>
      <c r="T69" s="46" t="s">
        <v>244</v>
      </c>
    </row>
    <row r="70" spans="1:20">
      <c r="A70" s="19">
        <v>69</v>
      </c>
      <c r="B70" s="86" t="s">
        <v>384</v>
      </c>
      <c r="C70" s="85" t="s">
        <v>367</v>
      </c>
      <c r="D70" s="84" t="s">
        <v>385</v>
      </c>
      <c r="E70" s="86" t="s">
        <v>386</v>
      </c>
      <c r="F70" s="86" t="s">
        <v>241</v>
      </c>
      <c r="G70" s="86" t="s">
        <v>387</v>
      </c>
      <c r="H70" s="87" t="s">
        <v>34</v>
      </c>
      <c r="I70" s="86">
        <f>2025-J70</f>
        <v>1959</v>
      </c>
      <c r="J70" s="86">
        <v>66</v>
      </c>
      <c r="K70" s="86">
        <v>4.4000000000000004</v>
      </c>
      <c r="L70" s="86" t="s">
        <v>290</v>
      </c>
      <c r="M70" s="106" t="s">
        <v>388</v>
      </c>
      <c r="N70" s="86" t="s">
        <v>292</v>
      </c>
      <c r="O70" s="86"/>
      <c r="P70" s="86"/>
      <c r="Q70" s="86"/>
      <c r="R70" s="86"/>
      <c r="S70" s="86"/>
      <c r="T70" s="86"/>
    </row>
    <row r="71" spans="1:20">
      <c r="A71" s="44">
        <v>70</v>
      </c>
      <c r="B71" s="40" t="s">
        <v>389</v>
      </c>
      <c r="C71" s="54" t="s">
        <v>367</v>
      </c>
      <c r="D71" s="44" t="s">
        <v>385</v>
      </c>
      <c r="E71" s="40" t="s">
        <v>390</v>
      </c>
      <c r="F71" s="40" t="s">
        <v>241</v>
      </c>
      <c r="G71" s="40" t="s">
        <v>391</v>
      </c>
      <c r="H71" s="43" t="s">
        <v>34</v>
      </c>
      <c r="I71" s="40">
        <f>2025-J71</f>
        <v>1952</v>
      </c>
      <c r="J71" s="40">
        <v>73</v>
      </c>
      <c r="K71" s="40">
        <v>4.5</v>
      </c>
      <c r="L71" s="40" t="s">
        <v>68</v>
      </c>
      <c r="M71" s="75" t="s">
        <v>324</v>
      </c>
      <c r="N71" s="59" t="s">
        <v>48</v>
      </c>
      <c r="O71" s="46" t="s">
        <v>127</v>
      </c>
      <c r="P71" s="46"/>
      <c r="Q71" s="46"/>
      <c r="R71" s="40"/>
      <c r="S71" s="40"/>
      <c r="T71" s="40" t="s">
        <v>244</v>
      </c>
    </row>
    <row r="72" spans="1:20">
      <c r="A72" s="18">
        <v>71</v>
      </c>
      <c r="B72" s="5" t="s">
        <v>392</v>
      </c>
      <c r="C72" s="20" t="s">
        <v>367</v>
      </c>
      <c r="D72" s="18" t="s">
        <v>385</v>
      </c>
      <c r="E72" s="3" t="s">
        <v>393</v>
      </c>
      <c r="F72" s="3" t="s">
        <v>241</v>
      </c>
      <c r="G72" s="3" t="s">
        <v>394</v>
      </c>
      <c r="H72" s="9" t="s">
        <v>34</v>
      </c>
      <c r="I72" s="5">
        <f>2025-J72</f>
        <v>1973</v>
      </c>
      <c r="J72" s="5">
        <v>52</v>
      </c>
      <c r="K72" s="5">
        <v>5.2</v>
      </c>
      <c r="L72" s="5" t="s">
        <v>211</v>
      </c>
      <c r="M72" s="73" t="s">
        <v>324</v>
      </c>
      <c r="N72" s="6" t="s">
        <v>48</v>
      </c>
      <c r="O72" s="3" t="s">
        <v>127</v>
      </c>
      <c r="P72" s="3"/>
      <c r="Q72" s="3"/>
      <c r="R72" s="9"/>
      <c r="S72" s="5"/>
      <c r="T72" s="5"/>
    </row>
    <row r="73" spans="1:20">
      <c r="A73" s="3">
        <v>72</v>
      </c>
      <c r="B73" s="5" t="s">
        <v>395</v>
      </c>
      <c r="C73" s="4" t="s">
        <v>385</v>
      </c>
      <c r="D73" s="11" t="s">
        <v>396</v>
      </c>
      <c r="E73" s="4" t="s">
        <v>397</v>
      </c>
      <c r="F73" s="4" t="s">
        <v>241</v>
      </c>
      <c r="G73" s="3" t="s">
        <v>398</v>
      </c>
      <c r="H73" s="9" t="s">
        <v>173</v>
      </c>
      <c r="I73" s="5">
        <f>2025-J73</f>
        <v>1963</v>
      </c>
      <c r="J73" s="3">
        <v>62</v>
      </c>
      <c r="K73" s="3">
        <v>4.5</v>
      </c>
      <c r="L73" s="3" t="s">
        <v>81</v>
      </c>
      <c r="M73" s="78" t="s">
        <v>290</v>
      </c>
      <c r="N73" s="5" t="s">
        <v>48</v>
      </c>
      <c r="O73" s="8" t="s">
        <v>399</v>
      </c>
      <c r="P73" s="3"/>
      <c r="Q73" s="3"/>
      <c r="R73" s="8"/>
      <c r="S73" s="3"/>
      <c r="T73" s="3"/>
    </row>
    <row r="74" spans="1:20">
      <c r="A74" s="56">
        <v>73</v>
      </c>
      <c r="B74" s="46" t="s">
        <v>400</v>
      </c>
      <c r="C74" s="45" t="s">
        <v>385</v>
      </c>
      <c r="D74" s="57" t="s">
        <v>396</v>
      </c>
      <c r="E74" s="54" t="s">
        <v>401</v>
      </c>
      <c r="F74" s="54" t="s">
        <v>241</v>
      </c>
      <c r="G74" s="40" t="s">
        <v>402</v>
      </c>
      <c r="H74" s="43" t="s">
        <v>173</v>
      </c>
      <c r="I74" s="40">
        <f>2025-J74</f>
        <v>1949</v>
      </c>
      <c r="J74" s="48">
        <v>76</v>
      </c>
      <c r="K74" s="46">
        <v>6.4</v>
      </c>
      <c r="L74" s="56"/>
      <c r="M74" s="76" t="s">
        <v>403</v>
      </c>
      <c r="N74" s="40" t="s">
        <v>48</v>
      </c>
      <c r="O74" s="43" t="s">
        <v>55</v>
      </c>
      <c r="P74" s="40"/>
      <c r="Q74" s="40"/>
      <c r="R74" s="48"/>
      <c r="S74" s="46"/>
      <c r="T74" s="46" t="s">
        <v>244</v>
      </c>
    </row>
    <row r="75" spans="1:20">
      <c r="A75" s="3">
        <v>74</v>
      </c>
      <c r="B75" s="3" t="s">
        <v>404</v>
      </c>
      <c r="C75" s="20" t="s">
        <v>405</v>
      </c>
      <c r="D75" s="58" t="s">
        <v>406</v>
      </c>
      <c r="E75" s="4" t="s">
        <v>407</v>
      </c>
      <c r="F75" s="4" t="s">
        <v>241</v>
      </c>
      <c r="G75" s="3" t="s">
        <v>408</v>
      </c>
      <c r="H75" s="8" t="s">
        <v>173</v>
      </c>
      <c r="I75" s="3">
        <f>2025-J75</f>
        <v>1977</v>
      </c>
      <c r="J75" s="9">
        <v>48</v>
      </c>
      <c r="K75" s="5">
        <v>4.7</v>
      </c>
      <c r="L75" s="18" t="s">
        <v>81</v>
      </c>
      <c r="M75" s="73" t="s">
        <v>324</v>
      </c>
      <c r="N75" s="3" t="s">
        <v>48</v>
      </c>
      <c r="O75" s="8" t="s">
        <v>127</v>
      </c>
      <c r="P75" s="3"/>
      <c r="Q75" s="3"/>
      <c r="R75" s="9"/>
      <c r="S75" s="5"/>
      <c r="T75" s="5"/>
    </row>
    <row r="76" spans="1:20">
      <c r="A76" s="3">
        <v>75</v>
      </c>
      <c r="B76" s="18" t="s">
        <v>409</v>
      </c>
      <c r="C76" s="5" t="s">
        <v>406</v>
      </c>
      <c r="D76" s="58" t="s">
        <v>410</v>
      </c>
      <c r="E76" s="4" t="s">
        <v>411</v>
      </c>
      <c r="F76" s="4" t="s">
        <v>241</v>
      </c>
      <c r="G76" s="3" t="s">
        <v>412</v>
      </c>
      <c r="H76" s="8" t="s">
        <v>34</v>
      </c>
      <c r="I76" s="5">
        <f>2025-J76</f>
        <v>1982</v>
      </c>
      <c r="J76" s="9">
        <v>43</v>
      </c>
      <c r="K76" s="5">
        <v>4</v>
      </c>
      <c r="L76" s="18" t="s">
        <v>290</v>
      </c>
      <c r="M76" s="73" t="s">
        <v>279</v>
      </c>
      <c r="N76" s="3" t="s">
        <v>48</v>
      </c>
      <c r="O76" s="8" t="s">
        <v>62</v>
      </c>
      <c r="P76" s="3"/>
      <c r="Q76" s="3"/>
      <c r="R76" s="9"/>
      <c r="S76" s="5"/>
      <c r="T76" s="5"/>
    </row>
    <row r="77" spans="1:20">
      <c r="A77" s="19">
        <v>76</v>
      </c>
      <c r="B77" s="3" t="s">
        <v>413</v>
      </c>
      <c r="C77" s="66" t="s">
        <v>414</v>
      </c>
      <c r="D77" s="58" t="s">
        <v>414</v>
      </c>
      <c r="E77" s="5" t="s">
        <v>415</v>
      </c>
      <c r="F77" s="5" t="s">
        <v>241</v>
      </c>
      <c r="G77" s="5" t="s">
        <v>416</v>
      </c>
      <c r="H77" s="22" t="s">
        <v>173</v>
      </c>
      <c r="I77" s="5">
        <f>2025-J77</f>
        <v>1950</v>
      </c>
      <c r="J77" s="5">
        <v>75</v>
      </c>
      <c r="K77" s="5" t="s">
        <v>417</v>
      </c>
      <c r="L77" s="18" t="s">
        <v>68</v>
      </c>
      <c r="M77" s="73" t="s">
        <v>279</v>
      </c>
      <c r="N77" s="3" t="s">
        <v>48</v>
      </c>
      <c r="O77" s="8" t="s">
        <v>62</v>
      </c>
      <c r="P77" s="3"/>
      <c r="Q77" s="3"/>
      <c r="R77" s="9"/>
      <c r="S77" s="5"/>
      <c r="T77" s="5"/>
    </row>
    <row r="78" spans="1:20">
      <c r="A78" s="19">
        <v>77</v>
      </c>
      <c r="B78" s="19" t="s">
        <v>418</v>
      </c>
      <c r="C78" s="4" t="s">
        <v>414</v>
      </c>
      <c r="D78" s="4" t="s">
        <v>414</v>
      </c>
      <c r="E78" s="3" t="s">
        <v>419</v>
      </c>
      <c r="F78" s="3" t="s">
        <v>32</v>
      </c>
      <c r="G78" s="3" t="s">
        <v>420</v>
      </c>
      <c r="H78" s="3" t="s">
        <v>34</v>
      </c>
      <c r="I78" s="3">
        <f>2025-J78</f>
        <v>1985</v>
      </c>
      <c r="J78" s="3">
        <v>40</v>
      </c>
      <c r="K78" s="3" t="s">
        <v>421</v>
      </c>
      <c r="L78" s="19" t="s">
        <v>81</v>
      </c>
      <c r="M78" s="73" t="s">
        <v>54</v>
      </c>
      <c r="N78" s="3" t="s">
        <v>48</v>
      </c>
      <c r="O78" s="8" t="s">
        <v>55</v>
      </c>
      <c r="P78" s="3"/>
      <c r="Q78" s="3"/>
      <c r="R78" s="8"/>
      <c r="S78" s="3"/>
      <c r="T78" s="3"/>
    </row>
    <row r="79" spans="1:20">
      <c r="A79" s="19">
        <v>78</v>
      </c>
      <c r="B79" s="19" t="s">
        <v>422</v>
      </c>
      <c r="C79" s="4" t="s">
        <v>423</v>
      </c>
      <c r="D79" s="4" t="s">
        <v>424</v>
      </c>
      <c r="E79" s="3" t="s">
        <v>425</v>
      </c>
      <c r="F79" s="3" t="s">
        <v>241</v>
      </c>
      <c r="G79" s="3" t="s">
        <v>426</v>
      </c>
      <c r="H79" s="3" t="s">
        <v>45</v>
      </c>
      <c r="I79" s="3">
        <f>2025-J79</f>
        <v>1950</v>
      </c>
      <c r="J79" s="3">
        <v>75</v>
      </c>
      <c r="K79" s="3" t="s">
        <v>427</v>
      </c>
      <c r="L79" s="19" t="s">
        <v>211</v>
      </c>
      <c r="M79" s="73" t="s">
        <v>428</v>
      </c>
      <c r="N79" s="3" t="s">
        <v>48</v>
      </c>
      <c r="O79" s="8" t="s">
        <v>69</v>
      </c>
      <c r="P79" s="3"/>
      <c r="Q79" s="3"/>
      <c r="R79" s="8"/>
      <c r="S79" s="3"/>
      <c r="T79" s="3"/>
    </row>
    <row r="80" spans="1:20">
      <c r="A80" s="19">
        <v>79</v>
      </c>
      <c r="B80" s="19" t="s">
        <v>429</v>
      </c>
      <c r="C80" s="4" t="s">
        <v>423</v>
      </c>
      <c r="D80" s="4" t="s">
        <v>424</v>
      </c>
      <c r="E80" s="3" t="s">
        <v>430</v>
      </c>
      <c r="F80" s="3" t="s">
        <v>32</v>
      </c>
      <c r="G80" s="3" t="s">
        <v>431</v>
      </c>
      <c r="H80" s="3" t="s">
        <v>45</v>
      </c>
      <c r="I80" s="3">
        <f>2025-J80</f>
        <v>1950</v>
      </c>
      <c r="J80" s="3">
        <v>75</v>
      </c>
      <c r="K80" s="3" t="s">
        <v>432</v>
      </c>
      <c r="L80" s="19" t="s">
        <v>211</v>
      </c>
      <c r="M80" s="73" t="s">
        <v>54</v>
      </c>
      <c r="N80" s="3" t="s">
        <v>48</v>
      </c>
      <c r="O80" s="8" t="s">
        <v>55</v>
      </c>
      <c r="P80" s="3"/>
      <c r="Q80" s="3"/>
      <c r="R80" s="8"/>
      <c r="S80" s="3"/>
      <c r="T80" s="3"/>
    </row>
    <row r="81" spans="1:20">
      <c r="A81" s="19">
        <v>80</v>
      </c>
      <c r="B81" s="101" t="s">
        <v>433</v>
      </c>
      <c r="C81" s="102" t="s">
        <v>423</v>
      </c>
      <c r="D81" s="102" t="s">
        <v>424</v>
      </c>
      <c r="E81" s="103" t="s">
        <v>434</v>
      </c>
      <c r="F81" s="103" t="s">
        <v>32</v>
      </c>
      <c r="G81" s="103" t="s">
        <v>435</v>
      </c>
      <c r="H81" s="103" t="s">
        <v>34</v>
      </c>
      <c r="I81" s="103">
        <f>2025-J81</f>
        <v>1956</v>
      </c>
      <c r="J81" s="103">
        <v>69</v>
      </c>
      <c r="K81" s="103" t="s">
        <v>436</v>
      </c>
      <c r="L81" s="101"/>
      <c r="M81" s="104" t="s">
        <v>376</v>
      </c>
      <c r="N81" s="103" t="s">
        <v>377</v>
      </c>
      <c r="O81" s="105" t="s">
        <v>38</v>
      </c>
      <c r="P81" s="103"/>
      <c r="Q81" s="103"/>
      <c r="R81" s="105"/>
      <c r="S81" s="103"/>
      <c r="T81" s="103"/>
    </row>
    <row r="82" spans="1:20">
      <c r="A82" s="19">
        <v>81</v>
      </c>
      <c r="B82" s="19" t="s">
        <v>437</v>
      </c>
      <c r="C82" s="4" t="s">
        <v>423</v>
      </c>
      <c r="D82" s="4" t="s">
        <v>424</v>
      </c>
      <c r="E82" s="3" t="s">
        <v>438</v>
      </c>
      <c r="F82" s="3" t="s">
        <v>32</v>
      </c>
      <c r="G82" s="3" t="s">
        <v>439</v>
      </c>
      <c r="H82" s="3" t="s">
        <v>34</v>
      </c>
      <c r="I82" s="3">
        <f>2025-J82</f>
        <v>1960</v>
      </c>
      <c r="J82" s="3">
        <v>65</v>
      </c>
      <c r="K82" s="3" t="s">
        <v>436</v>
      </c>
      <c r="L82" s="19"/>
      <c r="M82" s="72" t="s">
        <v>47</v>
      </c>
      <c r="N82" s="3" t="s">
        <v>48</v>
      </c>
      <c r="O82" s="70" t="s">
        <v>49</v>
      </c>
      <c r="P82" s="68"/>
      <c r="Q82" s="68"/>
      <c r="R82" s="3"/>
      <c r="S82" s="3"/>
      <c r="T82" s="3"/>
    </row>
    <row r="83" spans="1:20">
      <c r="A83" s="19">
        <v>82</v>
      </c>
      <c r="B83" s="19" t="s">
        <v>440</v>
      </c>
      <c r="C83" s="4" t="s">
        <v>423</v>
      </c>
      <c r="D83" s="4" t="s">
        <v>424</v>
      </c>
      <c r="E83" s="3" t="s">
        <v>441</v>
      </c>
      <c r="F83" s="3" t="s">
        <v>32</v>
      </c>
      <c r="G83" s="3" t="s">
        <v>442</v>
      </c>
      <c r="H83" s="3" t="s">
        <v>45</v>
      </c>
      <c r="I83" s="3">
        <f>2025-J83</f>
        <v>1983</v>
      </c>
      <c r="J83" s="3">
        <v>42</v>
      </c>
      <c r="K83" s="3" t="s">
        <v>443</v>
      </c>
      <c r="L83" s="3"/>
      <c r="M83" s="79" t="s">
        <v>47</v>
      </c>
      <c r="N83" s="68" t="s">
        <v>48</v>
      </c>
      <c r="O83" s="3" t="s">
        <v>49</v>
      </c>
      <c r="P83" s="8"/>
      <c r="Q83" s="3"/>
      <c r="R83" s="3"/>
      <c r="S83" s="3"/>
      <c r="T83" s="3"/>
    </row>
    <row r="84" spans="1:20">
      <c r="A84" s="19">
        <v>83</v>
      </c>
      <c r="B84" s="19" t="s">
        <v>444</v>
      </c>
      <c r="C84" s="4" t="s">
        <v>423</v>
      </c>
      <c r="D84" s="4" t="s">
        <v>424</v>
      </c>
      <c r="E84" s="3" t="s">
        <v>445</v>
      </c>
      <c r="F84" s="3" t="s">
        <v>32</v>
      </c>
      <c r="G84" s="3" t="s">
        <v>446</v>
      </c>
      <c r="H84" s="3" t="s">
        <v>34</v>
      </c>
      <c r="I84" s="3">
        <f>2025-J84</f>
        <v>1957</v>
      </c>
      <c r="J84" s="3">
        <v>68</v>
      </c>
      <c r="K84" s="3" t="s">
        <v>427</v>
      </c>
      <c r="L84" s="3"/>
      <c r="M84" s="80" t="s">
        <v>403</v>
      </c>
      <c r="N84" s="3" t="s">
        <v>48</v>
      </c>
      <c r="O84" s="3" t="s">
        <v>55</v>
      </c>
      <c r="P84" s="8"/>
      <c r="Q84" s="3"/>
      <c r="R84" s="3"/>
      <c r="S84" s="3"/>
      <c r="T84" s="3"/>
    </row>
    <row r="85" spans="1:20">
      <c r="A85" s="19">
        <v>84</v>
      </c>
      <c r="B85" s="93" t="s">
        <v>447</v>
      </c>
      <c r="C85" s="94" t="s">
        <v>424</v>
      </c>
      <c r="D85" s="94" t="s">
        <v>448</v>
      </c>
      <c r="E85" s="95" t="s">
        <v>449</v>
      </c>
      <c r="F85" s="95" t="s">
        <v>241</v>
      </c>
      <c r="G85" s="95" t="s">
        <v>450</v>
      </c>
      <c r="H85" s="95" t="s">
        <v>45</v>
      </c>
      <c r="I85" s="95">
        <f>2025-J85</f>
        <v>1961</v>
      </c>
      <c r="J85" s="95">
        <v>64</v>
      </c>
      <c r="K85" s="95">
        <v>4.0999999999999996</v>
      </c>
      <c r="L85" s="95" t="s">
        <v>68</v>
      </c>
      <c r="M85" s="100" t="s">
        <v>451</v>
      </c>
      <c r="N85" s="95" t="s">
        <v>37</v>
      </c>
      <c r="O85" s="95"/>
      <c r="P85" s="96"/>
      <c r="Q85" s="95"/>
      <c r="R85" s="95"/>
      <c r="S85" s="95"/>
      <c r="T85" s="95"/>
    </row>
    <row r="86" spans="1:20">
      <c r="A86" s="19">
        <v>85</v>
      </c>
      <c r="B86" s="19" t="s">
        <v>452</v>
      </c>
      <c r="C86" s="3" t="s">
        <v>448</v>
      </c>
      <c r="D86" s="4" t="s">
        <v>453</v>
      </c>
      <c r="E86" s="3" t="s">
        <v>454</v>
      </c>
      <c r="F86" s="3" t="s">
        <v>241</v>
      </c>
      <c r="G86" s="3" t="s">
        <v>455</v>
      </c>
      <c r="H86" s="3" t="s">
        <v>45</v>
      </c>
      <c r="I86" s="3">
        <f>2025-J86</f>
        <v>1968</v>
      </c>
      <c r="J86" s="3">
        <v>57</v>
      </c>
      <c r="K86" s="3">
        <v>4.8</v>
      </c>
      <c r="L86" s="3" t="s">
        <v>68</v>
      </c>
      <c r="M86" s="80" t="s">
        <v>269</v>
      </c>
      <c r="N86" s="3" t="s">
        <v>48</v>
      </c>
      <c r="O86" s="3" t="s">
        <v>168</v>
      </c>
      <c r="P86" s="8"/>
      <c r="Q86" s="3"/>
      <c r="R86" s="3"/>
      <c r="S86" s="3"/>
      <c r="T86" s="3"/>
    </row>
    <row r="87" spans="1:20">
      <c r="A87" s="19">
        <v>86</v>
      </c>
      <c r="B87" s="19" t="s">
        <v>456</v>
      </c>
      <c r="C87" s="20" t="s">
        <v>457</v>
      </c>
      <c r="D87" s="20" t="s">
        <v>458</v>
      </c>
      <c r="E87" s="5" t="s">
        <v>459</v>
      </c>
      <c r="F87" s="5" t="s">
        <v>241</v>
      </c>
      <c r="G87" s="5" t="s">
        <v>306</v>
      </c>
      <c r="H87" s="5" t="s">
        <v>45</v>
      </c>
      <c r="I87" s="5">
        <f>2025-J87</f>
        <v>1950</v>
      </c>
      <c r="J87" s="5">
        <v>75</v>
      </c>
      <c r="K87" s="5">
        <v>4.8</v>
      </c>
      <c r="L87" s="5" t="s">
        <v>81</v>
      </c>
      <c r="M87" s="78" t="s">
        <v>428</v>
      </c>
      <c r="N87" s="3" t="s">
        <v>48</v>
      </c>
      <c r="O87" s="3" t="s">
        <v>69</v>
      </c>
      <c r="P87" s="9"/>
      <c r="Q87" s="5"/>
      <c r="R87" s="5"/>
      <c r="S87" s="5"/>
      <c r="T87" s="5"/>
    </row>
    <row r="88" spans="1:20">
      <c r="A88" s="19">
        <v>87</v>
      </c>
      <c r="B88" s="19" t="s">
        <v>460</v>
      </c>
      <c r="C88" s="4" t="s">
        <v>457</v>
      </c>
      <c r="D88" s="4" t="s">
        <v>458</v>
      </c>
      <c r="E88" s="3" t="s">
        <v>461</v>
      </c>
      <c r="F88" s="3" t="s">
        <v>241</v>
      </c>
      <c r="G88" s="3" t="s">
        <v>462</v>
      </c>
      <c r="H88" s="3" t="s">
        <v>45</v>
      </c>
      <c r="I88" s="3">
        <f>2025-J88</f>
        <v>1955</v>
      </c>
      <c r="J88" s="3">
        <v>70</v>
      </c>
      <c r="K88" s="3">
        <v>3.7</v>
      </c>
      <c r="L88" s="3" t="s">
        <v>81</v>
      </c>
      <c r="M88" s="80" t="s">
        <v>279</v>
      </c>
      <c r="N88" s="3" t="s">
        <v>48</v>
      </c>
      <c r="O88" s="3" t="s">
        <v>62</v>
      </c>
      <c r="P88" s="8"/>
      <c r="Q88" s="3"/>
      <c r="R88" s="3"/>
      <c r="S88" s="3"/>
      <c r="T88" s="3"/>
    </row>
    <row r="89" spans="1:20">
      <c r="A89" s="19">
        <v>88</v>
      </c>
      <c r="B89" s="84" t="s">
        <v>463</v>
      </c>
      <c r="C89" s="85" t="s">
        <v>457</v>
      </c>
      <c r="D89" s="85" t="s">
        <v>458</v>
      </c>
      <c r="E89" s="86" t="s">
        <v>464</v>
      </c>
      <c r="F89" s="86" t="s">
        <v>241</v>
      </c>
      <c r="G89" s="86" t="s">
        <v>465</v>
      </c>
      <c r="H89" s="86" t="s">
        <v>45</v>
      </c>
      <c r="I89" s="86">
        <f>2025-J89</f>
        <v>1965</v>
      </c>
      <c r="J89" s="86">
        <v>60</v>
      </c>
      <c r="K89" s="86">
        <v>4.7</v>
      </c>
      <c r="L89" s="86" t="s">
        <v>68</v>
      </c>
      <c r="M89" s="99" t="s">
        <v>388</v>
      </c>
      <c r="N89" s="86" t="s">
        <v>292</v>
      </c>
      <c r="O89" s="86"/>
      <c r="P89" s="87"/>
      <c r="Q89" s="86"/>
      <c r="R89" s="86"/>
      <c r="S89" s="86"/>
      <c r="T89" s="86"/>
    </row>
    <row r="90" spans="1:20">
      <c r="A90" s="19">
        <v>89</v>
      </c>
      <c r="B90" s="19" t="s">
        <v>466</v>
      </c>
      <c r="C90" s="4" t="s">
        <v>457</v>
      </c>
      <c r="D90" s="4" t="s">
        <v>458</v>
      </c>
      <c r="E90" s="3" t="s">
        <v>467</v>
      </c>
      <c r="F90" s="3" t="s">
        <v>241</v>
      </c>
      <c r="G90" s="3" t="s">
        <v>468</v>
      </c>
      <c r="H90" s="3" t="s">
        <v>45</v>
      </c>
      <c r="I90" s="3">
        <f>2025-J90</f>
        <v>1956</v>
      </c>
      <c r="J90" s="3">
        <v>69</v>
      </c>
      <c r="K90" s="3">
        <v>4.9000000000000004</v>
      </c>
      <c r="L90" s="3" t="s">
        <v>188</v>
      </c>
      <c r="M90" s="78" t="s">
        <v>279</v>
      </c>
      <c r="N90" s="5" t="s">
        <v>48</v>
      </c>
      <c r="O90" s="5" t="s">
        <v>62</v>
      </c>
      <c r="P90" s="8"/>
      <c r="Q90" s="3"/>
      <c r="R90" s="3"/>
      <c r="S90" s="3"/>
      <c r="T90" s="3"/>
    </row>
    <row r="91" spans="1:20">
      <c r="A91" s="19">
        <v>90</v>
      </c>
      <c r="B91" s="93" t="s">
        <v>469</v>
      </c>
      <c r="C91" s="95" t="s">
        <v>470</v>
      </c>
      <c r="D91" s="94" t="s">
        <v>471</v>
      </c>
      <c r="E91" s="95" t="s">
        <v>472</v>
      </c>
      <c r="F91" s="95" t="s">
        <v>241</v>
      </c>
      <c r="G91" s="95" t="s">
        <v>473</v>
      </c>
      <c r="H91" s="95" t="s">
        <v>34</v>
      </c>
      <c r="I91" s="95">
        <f>2025-J91</f>
        <v>1991</v>
      </c>
      <c r="J91" s="95">
        <v>34</v>
      </c>
      <c r="K91" s="95">
        <v>5</v>
      </c>
      <c r="L91" s="93" t="s">
        <v>68</v>
      </c>
      <c r="M91" s="100" t="s">
        <v>451</v>
      </c>
      <c r="N91" s="95" t="s">
        <v>37</v>
      </c>
      <c r="O91" s="95"/>
      <c r="P91" s="96"/>
      <c r="Q91" s="95"/>
      <c r="R91" s="95"/>
      <c r="S91" s="95"/>
      <c r="T91" s="95"/>
    </row>
    <row r="92" spans="1:20">
      <c r="A92" s="19">
        <v>91</v>
      </c>
      <c r="B92" s="90" t="s">
        <v>474</v>
      </c>
      <c r="C92" s="97" t="s">
        <v>471</v>
      </c>
      <c r="D92" s="97" t="s">
        <v>475</v>
      </c>
      <c r="E92" s="92" t="s">
        <v>476</v>
      </c>
      <c r="F92" s="92" t="s">
        <v>241</v>
      </c>
      <c r="G92" s="92" t="s">
        <v>477</v>
      </c>
      <c r="H92" s="92" t="s">
        <v>34</v>
      </c>
      <c r="I92" s="92">
        <f>2025-J92</f>
        <v>1982</v>
      </c>
      <c r="J92" s="92">
        <v>43</v>
      </c>
      <c r="K92" s="92">
        <v>4</v>
      </c>
      <c r="L92" s="92" t="s">
        <v>478</v>
      </c>
      <c r="M92" s="98" t="s">
        <v>479</v>
      </c>
      <c r="N92" s="86" t="s">
        <v>292</v>
      </c>
      <c r="O92" s="89"/>
      <c r="P92" s="91"/>
      <c r="Q92" s="92"/>
      <c r="R92" s="92"/>
      <c r="S92" s="92"/>
      <c r="T92" s="92"/>
    </row>
    <row r="93" spans="1:20">
      <c r="A93" s="19">
        <v>92</v>
      </c>
      <c r="B93" s="3" t="s">
        <v>480</v>
      </c>
      <c r="C93" s="3" t="s">
        <v>481</v>
      </c>
      <c r="D93" s="4" t="s">
        <v>482</v>
      </c>
      <c r="E93" s="3" t="s">
        <v>483</v>
      </c>
      <c r="F93" s="5" t="s">
        <v>241</v>
      </c>
      <c r="G93" s="3" t="s">
        <v>484</v>
      </c>
      <c r="H93" s="3" t="s">
        <v>34</v>
      </c>
      <c r="I93" s="3">
        <f>2025-J93</f>
        <v>1955</v>
      </c>
      <c r="J93" s="3">
        <v>70</v>
      </c>
      <c r="K93" s="3">
        <v>4.9000000000000004</v>
      </c>
      <c r="L93" s="3" t="s">
        <v>102</v>
      </c>
      <c r="M93" s="74" t="s">
        <v>189</v>
      </c>
      <c r="N93" s="6" t="s">
        <v>48</v>
      </c>
      <c r="O93" s="83" t="s">
        <v>62</v>
      </c>
      <c r="P93" s="3"/>
      <c r="Q93" s="3"/>
      <c r="R93" s="3"/>
      <c r="S93" s="3"/>
      <c r="T93" s="3"/>
    </row>
    <row r="94" spans="1:20" ht="60.75">
      <c r="A94" s="19">
        <v>93</v>
      </c>
      <c r="B94" s="114" t="s">
        <v>485</v>
      </c>
      <c r="C94" s="110" t="s">
        <v>481</v>
      </c>
      <c r="D94" s="136" t="s">
        <v>482</v>
      </c>
      <c r="E94" s="110" t="s">
        <v>486</v>
      </c>
      <c r="F94" s="110" t="s">
        <v>241</v>
      </c>
      <c r="G94" s="110" t="s">
        <v>487</v>
      </c>
      <c r="H94" s="110" t="s">
        <v>45</v>
      </c>
      <c r="I94" s="110">
        <f>2025-J94</f>
        <v>1987</v>
      </c>
      <c r="J94" s="110">
        <v>38</v>
      </c>
      <c r="K94" s="110">
        <v>5.3</v>
      </c>
      <c r="L94" s="116" t="s">
        <v>68</v>
      </c>
      <c r="M94" s="137" t="s">
        <v>488</v>
      </c>
      <c r="N94" s="114" t="s">
        <v>377</v>
      </c>
      <c r="O94" s="114" t="s">
        <v>489</v>
      </c>
      <c r="P94" s="115"/>
      <c r="Q94" s="110"/>
      <c r="R94" s="110"/>
      <c r="S94" s="110"/>
      <c r="T94" s="110"/>
    </row>
    <row r="95" spans="1:20">
      <c r="A95" s="19">
        <v>94</v>
      </c>
      <c r="B95" s="18" t="s">
        <v>490</v>
      </c>
      <c r="C95" s="3" t="s">
        <v>481</v>
      </c>
      <c r="D95" s="4" t="s">
        <v>482</v>
      </c>
      <c r="E95" s="3" t="s">
        <v>491</v>
      </c>
      <c r="F95" s="3" t="s">
        <v>241</v>
      </c>
      <c r="G95" s="3" t="s">
        <v>492</v>
      </c>
      <c r="H95" s="3" t="s">
        <v>45</v>
      </c>
      <c r="I95" s="3">
        <f>2025-J95</f>
        <v>1952</v>
      </c>
      <c r="J95" s="3">
        <v>73</v>
      </c>
      <c r="K95" s="3">
        <v>4.5</v>
      </c>
      <c r="L95" s="19" t="s">
        <v>68</v>
      </c>
      <c r="M95" s="73" t="s">
        <v>493</v>
      </c>
      <c r="N95" s="3" t="s">
        <v>48</v>
      </c>
      <c r="O95" s="3" t="s">
        <v>69</v>
      </c>
      <c r="P95" s="8"/>
      <c r="Q95" s="3"/>
      <c r="R95" s="3"/>
      <c r="S95" s="3"/>
      <c r="T95" s="3"/>
    </row>
    <row r="96" spans="1:20">
      <c r="A96" s="19">
        <f>A95+1</f>
        <v>95</v>
      </c>
      <c r="B96" s="19" t="s">
        <v>494</v>
      </c>
      <c r="C96" s="3" t="s">
        <v>482</v>
      </c>
      <c r="D96" s="7" t="s">
        <v>495</v>
      </c>
      <c r="E96" s="3" t="s">
        <v>496</v>
      </c>
      <c r="F96" s="3" t="s">
        <v>241</v>
      </c>
      <c r="G96" s="3" t="s">
        <v>497</v>
      </c>
      <c r="H96" s="3" t="s">
        <v>34</v>
      </c>
      <c r="I96" s="3">
        <f>2025-J96</f>
        <v>1967</v>
      </c>
      <c r="J96" s="3">
        <v>58</v>
      </c>
      <c r="K96" s="3" t="s">
        <v>498</v>
      </c>
      <c r="L96" s="19" t="s">
        <v>68</v>
      </c>
      <c r="M96" s="73" t="s">
        <v>87</v>
      </c>
      <c r="N96" s="6" t="s">
        <v>48</v>
      </c>
      <c r="O96" s="5" t="s">
        <v>62</v>
      </c>
      <c r="P96" s="9"/>
      <c r="Q96" s="5"/>
      <c r="R96" s="5"/>
      <c r="S96" s="5"/>
      <c r="T96" s="3"/>
    </row>
    <row r="97" spans="1:20">
      <c r="A97" s="19">
        <f t="shared" ref="A97:A102" si="2">A96+1</f>
        <v>96</v>
      </c>
      <c r="B97" s="19" t="s">
        <v>499</v>
      </c>
      <c r="C97" s="3" t="s">
        <v>482</v>
      </c>
      <c r="D97" s="7" t="s">
        <v>495</v>
      </c>
      <c r="E97" s="3" t="s">
        <v>500</v>
      </c>
      <c r="F97" s="3" t="s">
        <v>241</v>
      </c>
      <c r="G97" s="3" t="s">
        <v>501</v>
      </c>
      <c r="H97" s="3" t="s">
        <v>34</v>
      </c>
      <c r="I97" s="3">
        <f>2025-J97</f>
        <v>1975</v>
      </c>
      <c r="J97" s="3">
        <v>50</v>
      </c>
      <c r="K97" s="3" t="s">
        <v>502</v>
      </c>
      <c r="L97" s="18" t="s">
        <v>188</v>
      </c>
      <c r="M97" s="78" t="s">
        <v>133</v>
      </c>
      <c r="N97" s="5" t="s">
        <v>48</v>
      </c>
      <c r="O97" s="5" t="s">
        <v>127</v>
      </c>
      <c r="P97" s="5"/>
      <c r="Q97" s="5"/>
      <c r="R97" s="5"/>
      <c r="S97" s="5"/>
      <c r="T97" s="8"/>
    </row>
    <row r="98" spans="1:20">
      <c r="A98" s="19">
        <f t="shared" si="2"/>
        <v>97</v>
      </c>
      <c r="B98" s="84" t="s">
        <v>503</v>
      </c>
      <c r="C98" s="88" t="s">
        <v>504</v>
      </c>
      <c r="D98" s="85" t="s">
        <v>505</v>
      </c>
      <c r="E98" s="86" t="s">
        <v>506</v>
      </c>
      <c r="F98" s="86" t="s">
        <v>32</v>
      </c>
      <c r="G98" s="86" t="s">
        <v>507</v>
      </c>
      <c r="H98" s="86" t="s">
        <v>45</v>
      </c>
      <c r="I98" s="86">
        <f>2025-J98</f>
        <v>1991</v>
      </c>
      <c r="J98" s="86">
        <v>34</v>
      </c>
      <c r="K98" s="84" t="s">
        <v>417</v>
      </c>
      <c r="L98" s="86" t="s">
        <v>508</v>
      </c>
      <c r="M98" s="106" t="s">
        <v>291</v>
      </c>
      <c r="N98" s="86" t="s">
        <v>292</v>
      </c>
      <c r="O98" s="86"/>
      <c r="P98" s="86"/>
      <c r="Q98" s="86"/>
      <c r="R98" s="86"/>
      <c r="S98" s="86"/>
      <c r="T98" s="87"/>
    </row>
    <row r="99" spans="1:20">
      <c r="A99" s="19">
        <f t="shared" si="2"/>
        <v>98</v>
      </c>
      <c r="B99" s="84" t="s">
        <v>509</v>
      </c>
      <c r="C99" s="88" t="s">
        <v>504</v>
      </c>
      <c r="D99" s="85" t="s">
        <v>505</v>
      </c>
      <c r="E99" s="86" t="s">
        <v>510</v>
      </c>
      <c r="F99" s="86" t="s">
        <v>32</v>
      </c>
      <c r="G99" s="86" t="s">
        <v>511</v>
      </c>
      <c r="H99" s="86" t="s">
        <v>45</v>
      </c>
      <c r="I99" s="86">
        <f>2025-J99</f>
        <v>1955</v>
      </c>
      <c r="J99" s="86">
        <v>70</v>
      </c>
      <c r="K99" s="84">
        <v>4</v>
      </c>
      <c r="L99" s="86" t="s">
        <v>508</v>
      </c>
      <c r="M99" s="106" t="s">
        <v>291</v>
      </c>
      <c r="N99" s="86" t="s">
        <v>292</v>
      </c>
      <c r="O99" s="86"/>
      <c r="P99" s="86"/>
      <c r="Q99" s="86"/>
      <c r="R99" s="86"/>
      <c r="S99" s="86"/>
      <c r="T99" s="87"/>
    </row>
    <row r="100" spans="1:20">
      <c r="A100" s="19">
        <f t="shared" si="2"/>
        <v>99</v>
      </c>
      <c r="B100" s="93" t="s">
        <v>512</v>
      </c>
      <c r="C100" s="94" t="s">
        <v>513</v>
      </c>
      <c r="D100" s="94" t="s">
        <v>514</v>
      </c>
      <c r="E100" s="95" t="s">
        <v>515</v>
      </c>
      <c r="F100" s="95" t="s">
        <v>241</v>
      </c>
      <c r="G100" s="95" t="s">
        <v>516</v>
      </c>
      <c r="H100" s="95" t="s">
        <v>34</v>
      </c>
      <c r="I100" s="95">
        <f>2025-J100</f>
        <v>1987</v>
      </c>
      <c r="J100" s="95">
        <v>38</v>
      </c>
      <c r="K100" s="93">
        <v>4</v>
      </c>
      <c r="L100" s="95" t="s">
        <v>179</v>
      </c>
      <c r="M100" s="95" t="s">
        <v>517</v>
      </c>
      <c r="N100" s="95" t="s">
        <v>37</v>
      </c>
      <c r="O100" s="95"/>
      <c r="P100" s="95"/>
      <c r="Q100" s="95"/>
      <c r="R100" s="95"/>
      <c r="S100" s="95"/>
      <c r="T100" s="96"/>
    </row>
    <row r="101" spans="1:20">
      <c r="A101" s="19">
        <f t="shared" si="2"/>
        <v>100</v>
      </c>
      <c r="B101" s="19" t="s">
        <v>518</v>
      </c>
      <c r="C101" s="20" t="s">
        <v>514</v>
      </c>
      <c r="D101" s="20" t="s">
        <v>519</v>
      </c>
      <c r="E101" s="5" t="s">
        <v>520</v>
      </c>
      <c r="F101" s="5" t="s">
        <v>32</v>
      </c>
      <c r="G101" s="5" t="s">
        <v>521</v>
      </c>
      <c r="H101" s="5" t="s">
        <v>34</v>
      </c>
      <c r="I101" s="5">
        <f>2025-J101</f>
        <v>1962</v>
      </c>
      <c r="J101" s="5">
        <v>63</v>
      </c>
      <c r="K101" s="18" t="s">
        <v>417</v>
      </c>
      <c r="L101" s="3" t="s">
        <v>179</v>
      </c>
      <c r="M101" s="73" t="s">
        <v>189</v>
      </c>
      <c r="N101" s="3" t="s">
        <v>48</v>
      </c>
      <c r="O101" s="3" t="s">
        <v>62</v>
      </c>
      <c r="P101" s="3"/>
      <c r="Q101" s="3"/>
      <c r="R101" s="3"/>
      <c r="S101" s="3"/>
      <c r="T101" s="9"/>
    </row>
    <row r="102" spans="1:20">
      <c r="A102" s="19">
        <f t="shared" si="2"/>
        <v>101</v>
      </c>
      <c r="B102" s="19" t="s">
        <v>522</v>
      </c>
      <c r="C102" s="4" t="s">
        <v>523</v>
      </c>
      <c r="D102" s="7" t="s">
        <v>524</v>
      </c>
      <c r="E102" s="3" t="s">
        <v>525</v>
      </c>
      <c r="F102" s="3" t="s">
        <v>241</v>
      </c>
      <c r="G102" s="3" t="s">
        <v>526</v>
      </c>
      <c r="H102" s="3" t="s">
        <v>45</v>
      </c>
      <c r="I102" s="3">
        <f>2025-J102</f>
        <v>1964</v>
      </c>
      <c r="J102" s="3">
        <v>61</v>
      </c>
      <c r="K102" s="19" t="s">
        <v>527</v>
      </c>
      <c r="L102" s="3" t="s">
        <v>81</v>
      </c>
      <c r="M102" s="73" t="s">
        <v>73</v>
      </c>
      <c r="N102" s="3" t="s">
        <v>48</v>
      </c>
      <c r="O102" s="3" t="s">
        <v>127</v>
      </c>
      <c r="P102" s="3"/>
      <c r="Q102" s="3"/>
      <c r="R102" s="3"/>
      <c r="S102" s="3"/>
      <c r="T102" s="8"/>
    </row>
    <row r="103" spans="1:20">
      <c r="A103" s="19">
        <f>A102+1</f>
        <v>102</v>
      </c>
      <c r="B103" s="19" t="s">
        <v>528</v>
      </c>
      <c r="C103" s="5" t="s">
        <v>524</v>
      </c>
      <c r="D103" s="14" t="s">
        <v>529</v>
      </c>
      <c r="E103" s="5" t="s">
        <v>530</v>
      </c>
      <c r="F103" s="5" t="s">
        <v>241</v>
      </c>
      <c r="G103" s="5" t="s">
        <v>531</v>
      </c>
      <c r="H103" s="5" t="s">
        <v>45</v>
      </c>
      <c r="I103" s="5">
        <f>2025-J103</f>
        <v>1957</v>
      </c>
      <c r="J103" s="5">
        <v>68</v>
      </c>
      <c r="K103" s="18" t="s">
        <v>532</v>
      </c>
      <c r="L103" s="3" t="s">
        <v>290</v>
      </c>
      <c r="M103" s="73" t="s">
        <v>87</v>
      </c>
      <c r="N103" s="3" t="s">
        <v>48</v>
      </c>
      <c r="O103" s="3" t="s">
        <v>62</v>
      </c>
      <c r="P103" s="3"/>
      <c r="Q103" s="3"/>
      <c r="R103" s="3"/>
      <c r="S103" s="3"/>
      <c r="T103" s="9"/>
    </row>
    <row r="104" spans="1:20">
      <c r="A104" s="18">
        <f>A103+1</f>
        <v>103</v>
      </c>
      <c r="B104" s="18" t="s">
        <v>533</v>
      </c>
      <c r="C104" s="3" t="s">
        <v>524</v>
      </c>
      <c r="D104" s="7" t="s">
        <v>529</v>
      </c>
      <c r="E104" s="3" t="s">
        <v>534</v>
      </c>
      <c r="F104" s="3" t="s">
        <v>241</v>
      </c>
      <c r="G104" s="3" t="s">
        <v>535</v>
      </c>
      <c r="H104" s="3" t="s">
        <v>45</v>
      </c>
      <c r="I104" s="3">
        <f>2025-J104</f>
        <v>1942</v>
      </c>
      <c r="J104" s="3">
        <v>83</v>
      </c>
      <c r="K104" s="19" t="s">
        <v>417</v>
      </c>
      <c r="L104" s="3" t="s">
        <v>81</v>
      </c>
      <c r="M104" s="72" t="s">
        <v>351</v>
      </c>
      <c r="N104" s="3" t="s">
        <v>48</v>
      </c>
      <c r="O104" s="150" t="s">
        <v>49</v>
      </c>
      <c r="P104" s="3"/>
      <c r="Q104" s="3"/>
      <c r="R104" s="3"/>
      <c r="S104" s="3"/>
      <c r="T104" s="8"/>
    </row>
    <row r="105" spans="1:20">
      <c r="A105" s="3">
        <f>A104+1</f>
        <v>104</v>
      </c>
      <c r="B105" s="18" t="s">
        <v>536</v>
      </c>
      <c r="C105" s="20" t="s">
        <v>537</v>
      </c>
      <c r="D105" s="14" t="s">
        <v>538</v>
      </c>
      <c r="E105" s="5" t="s">
        <v>539</v>
      </c>
      <c r="F105" s="5" t="s">
        <v>241</v>
      </c>
      <c r="G105" s="5" t="s">
        <v>540</v>
      </c>
      <c r="H105" s="5" t="s">
        <v>34</v>
      </c>
      <c r="I105" s="5">
        <f>2025-J105</f>
        <v>1963</v>
      </c>
      <c r="J105" s="5">
        <v>62</v>
      </c>
      <c r="K105" s="18">
        <v>3.9</v>
      </c>
      <c r="L105" s="3" t="s">
        <v>68</v>
      </c>
      <c r="M105" s="73" t="s">
        <v>68</v>
      </c>
      <c r="N105" s="3" t="s">
        <v>48</v>
      </c>
      <c r="O105" s="3" t="s">
        <v>69</v>
      </c>
      <c r="P105" s="3"/>
      <c r="Q105" s="3"/>
      <c r="R105" s="3"/>
      <c r="S105" s="3"/>
      <c r="T105" s="9"/>
    </row>
    <row r="106" spans="1:20">
      <c r="A106" s="18">
        <f>A105+1</f>
        <v>105</v>
      </c>
      <c r="B106" s="129" t="s">
        <v>541</v>
      </c>
      <c r="C106" s="130" t="s">
        <v>537</v>
      </c>
      <c r="D106" s="131" t="s">
        <v>538</v>
      </c>
      <c r="E106" s="129" t="s">
        <v>542</v>
      </c>
      <c r="F106" s="129" t="s">
        <v>241</v>
      </c>
      <c r="G106" s="129" t="s">
        <v>543</v>
      </c>
      <c r="H106" s="129" t="s">
        <v>34</v>
      </c>
      <c r="I106" s="129">
        <f>2025-J106</f>
        <v>1983</v>
      </c>
      <c r="J106" s="129">
        <v>42</v>
      </c>
      <c r="K106" s="140">
        <v>4.0999999999999996</v>
      </c>
      <c r="L106" s="129" t="s">
        <v>388</v>
      </c>
      <c r="M106" s="132" t="s">
        <v>291</v>
      </c>
      <c r="N106" s="129" t="s">
        <v>292</v>
      </c>
      <c r="O106" s="129"/>
      <c r="P106" s="129"/>
      <c r="Q106" s="129"/>
      <c r="R106" s="129"/>
      <c r="S106" s="129"/>
      <c r="T106" s="142"/>
    </row>
    <row r="107" spans="1:20">
      <c r="A107" s="3">
        <f>A106+1</f>
        <v>106</v>
      </c>
      <c r="B107" s="68" t="s">
        <v>544</v>
      </c>
      <c r="C107" s="127" t="s">
        <v>545</v>
      </c>
      <c r="D107" s="128" t="s">
        <v>546</v>
      </c>
      <c r="E107" s="68" t="s">
        <v>547</v>
      </c>
      <c r="F107" s="68" t="s">
        <v>241</v>
      </c>
      <c r="G107" s="68" t="s">
        <v>548</v>
      </c>
      <c r="H107" s="68" t="s">
        <v>34</v>
      </c>
      <c r="I107" s="68">
        <f>2025-J107</f>
        <v>1953</v>
      </c>
      <c r="J107" s="68">
        <v>72</v>
      </c>
      <c r="K107" s="141">
        <v>4.5999999999999996</v>
      </c>
      <c r="L107" s="3" t="s">
        <v>211</v>
      </c>
      <c r="M107" s="73" t="s">
        <v>403</v>
      </c>
      <c r="N107" s="3" t="s">
        <v>48</v>
      </c>
      <c r="O107" s="3" t="s">
        <v>55</v>
      </c>
      <c r="P107" s="3"/>
      <c r="Q107" s="3"/>
      <c r="R107" s="3"/>
      <c r="S107" s="3"/>
      <c r="T107" s="143" t="s">
        <v>549</v>
      </c>
    </row>
    <row r="108" spans="1:20">
      <c r="A108" s="3">
        <f>A107+1</f>
        <v>107</v>
      </c>
      <c r="B108" s="114" t="s">
        <v>550</v>
      </c>
      <c r="C108" s="114" t="s">
        <v>545</v>
      </c>
      <c r="D108" s="138" t="s">
        <v>546</v>
      </c>
      <c r="E108" s="114" t="s">
        <v>551</v>
      </c>
      <c r="F108" s="114" t="s">
        <v>32</v>
      </c>
      <c r="G108" s="114" t="s">
        <v>552</v>
      </c>
      <c r="H108" s="114" t="s">
        <v>34</v>
      </c>
      <c r="I108" s="114">
        <f>2025-J108</f>
        <v>1940</v>
      </c>
      <c r="J108" s="114">
        <v>85</v>
      </c>
      <c r="K108" s="120">
        <v>3.8</v>
      </c>
      <c r="L108" s="114" t="s">
        <v>174</v>
      </c>
      <c r="M108" s="137" t="s">
        <v>553</v>
      </c>
      <c r="N108" s="114" t="s">
        <v>274</v>
      </c>
      <c r="O108" s="114" t="s">
        <v>489</v>
      </c>
      <c r="P108" s="114"/>
      <c r="Q108" s="114"/>
      <c r="R108" s="114"/>
      <c r="S108" s="114"/>
      <c r="T108" s="119"/>
    </row>
    <row r="109" spans="1:20">
      <c r="A109" s="5">
        <f>A108+1</f>
        <v>108</v>
      </c>
      <c r="B109" s="5" t="s">
        <v>554</v>
      </c>
      <c r="C109" s="20" t="s">
        <v>555</v>
      </c>
      <c r="D109" s="4" t="s">
        <v>556</v>
      </c>
      <c r="E109" s="5" t="s">
        <v>557</v>
      </c>
      <c r="F109" s="5" t="s">
        <v>241</v>
      </c>
      <c r="G109" s="5" t="s">
        <v>558</v>
      </c>
      <c r="H109" s="5" t="s">
        <v>34</v>
      </c>
      <c r="I109" s="5">
        <f>2025-J109</f>
        <v>1956</v>
      </c>
      <c r="J109" s="5">
        <v>69</v>
      </c>
      <c r="K109" s="18">
        <v>5</v>
      </c>
      <c r="L109" s="3" t="s">
        <v>211</v>
      </c>
      <c r="M109" s="73" t="s">
        <v>559</v>
      </c>
      <c r="N109" s="3" t="s">
        <v>48</v>
      </c>
      <c r="O109" s="5" t="s">
        <v>168</v>
      </c>
      <c r="P109" s="3"/>
      <c r="Q109" s="3"/>
      <c r="R109" s="3"/>
      <c r="S109" s="3"/>
      <c r="T109" s="9"/>
    </row>
    <row r="110" spans="1:20">
      <c r="A110" s="3">
        <f t="shared" ref="A110:A174" si="3">A109+1</f>
        <v>109</v>
      </c>
      <c r="B110" s="3" t="s">
        <v>560</v>
      </c>
      <c r="C110" s="11" t="s">
        <v>556</v>
      </c>
      <c r="D110" s="4" t="s">
        <v>561</v>
      </c>
      <c r="E110" s="3" t="s">
        <v>562</v>
      </c>
      <c r="F110" s="3" t="s">
        <v>241</v>
      </c>
      <c r="G110" s="3" t="s">
        <v>563</v>
      </c>
      <c r="H110" s="3" t="s">
        <v>34</v>
      </c>
      <c r="I110" s="3">
        <f>2025-J110</f>
        <v>1955</v>
      </c>
      <c r="J110" s="3">
        <v>70</v>
      </c>
      <c r="K110" s="19">
        <v>5.3</v>
      </c>
      <c r="L110" s="3" t="s">
        <v>81</v>
      </c>
      <c r="M110" s="80" t="s">
        <v>189</v>
      </c>
      <c r="N110" s="3" t="s">
        <v>48</v>
      </c>
      <c r="O110" s="3" t="s">
        <v>62</v>
      </c>
      <c r="P110" s="8"/>
      <c r="Q110" s="3"/>
      <c r="R110" s="3"/>
      <c r="S110" s="3"/>
      <c r="T110" s="8"/>
    </row>
    <row r="111" spans="1:20">
      <c r="A111" s="3">
        <f t="shared" si="3"/>
        <v>110</v>
      </c>
      <c r="B111" s="3" t="s">
        <v>564</v>
      </c>
      <c r="C111" s="58" t="s">
        <v>556</v>
      </c>
      <c r="D111" s="20" t="s">
        <v>561</v>
      </c>
      <c r="E111" s="5" t="s">
        <v>565</v>
      </c>
      <c r="F111" s="5" t="s">
        <v>241</v>
      </c>
      <c r="G111" s="5" t="s">
        <v>566</v>
      </c>
      <c r="H111" s="5" t="s">
        <v>34</v>
      </c>
      <c r="I111" s="5">
        <f>2025-J111</f>
        <v>1964</v>
      </c>
      <c r="J111" s="5">
        <v>61</v>
      </c>
      <c r="K111" s="18">
        <v>4.8</v>
      </c>
      <c r="L111" s="3" t="s">
        <v>68</v>
      </c>
      <c r="M111" s="78" t="s">
        <v>81</v>
      </c>
      <c r="N111" s="3" t="s">
        <v>48</v>
      </c>
      <c r="O111" s="5" t="s">
        <v>55</v>
      </c>
      <c r="P111" s="9"/>
      <c r="Q111" s="3"/>
      <c r="R111" s="3"/>
      <c r="S111" s="3"/>
      <c r="T111" s="9"/>
    </row>
    <row r="112" spans="1:20">
      <c r="A112" s="3">
        <f t="shared" si="3"/>
        <v>111</v>
      </c>
      <c r="B112" s="19" t="s">
        <v>567</v>
      </c>
      <c r="C112" s="4" t="s">
        <v>556</v>
      </c>
      <c r="D112" s="4" t="s">
        <v>561</v>
      </c>
      <c r="E112" s="3" t="s">
        <v>568</v>
      </c>
      <c r="F112" s="3" t="s">
        <v>32</v>
      </c>
      <c r="G112" s="3" t="s">
        <v>569</v>
      </c>
      <c r="H112" s="3" t="s">
        <v>45</v>
      </c>
      <c r="I112" s="3">
        <f>2025-J112</f>
        <v>1972</v>
      </c>
      <c r="J112" s="3">
        <v>53</v>
      </c>
      <c r="K112" s="19">
        <v>4</v>
      </c>
      <c r="L112" s="19" t="s">
        <v>96</v>
      </c>
      <c r="M112" s="73" t="s">
        <v>335</v>
      </c>
      <c r="N112" s="3" t="s">
        <v>48</v>
      </c>
      <c r="O112" s="3" t="s">
        <v>55</v>
      </c>
      <c r="P112" s="3"/>
      <c r="Q112" s="8"/>
      <c r="R112" s="3"/>
      <c r="S112" s="3"/>
      <c r="T112" s="8" t="s">
        <v>570</v>
      </c>
    </row>
    <row r="113" spans="1:20">
      <c r="A113" s="3">
        <f t="shared" si="3"/>
        <v>112</v>
      </c>
      <c r="B113" s="19" t="s">
        <v>571</v>
      </c>
      <c r="C113" s="4" t="s">
        <v>561</v>
      </c>
      <c r="D113" s="11" t="s">
        <v>572</v>
      </c>
      <c r="E113" s="5" t="s">
        <v>573</v>
      </c>
      <c r="F113" s="5" t="s">
        <v>241</v>
      </c>
      <c r="G113" s="5" t="s">
        <v>574</v>
      </c>
      <c r="H113" s="5" t="s">
        <v>45</v>
      </c>
      <c r="I113" s="5">
        <f>2025-J113</f>
        <v>1949</v>
      </c>
      <c r="J113" s="5">
        <v>76</v>
      </c>
      <c r="K113" s="18">
        <v>4.8</v>
      </c>
      <c r="L113" s="19" t="s">
        <v>211</v>
      </c>
      <c r="M113" s="73" t="s">
        <v>68</v>
      </c>
      <c r="N113" s="3" t="s">
        <v>48</v>
      </c>
      <c r="O113" s="3" t="s">
        <v>69</v>
      </c>
      <c r="P113" s="3"/>
      <c r="Q113" s="8"/>
      <c r="R113" s="3"/>
      <c r="S113" s="3"/>
      <c r="T113" s="9"/>
    </row>
    <row r="114" spans="1:20">
      <c r="A114" s="3">
        <f t="shared" si="3"/>
        <v>113</v>
      </c>
      <c r="B114" s="19" t="s">
        <v>575</v>
      </c>
      <c r="C114" s="11" t="s">
        <v>561</v>
      </c>
      <c r="D114" s="11" t="s">
        <v>572</v>
      </c>
      <c r="E114" s="3" t="s">
        <v>576</v>
      </c>
      <c r="F114" s="3" t="s">
        <v>241</v>
      </c>
      <c r="G114" s="3" t="s">
        <v>577</v>
      </c>
      <c r="H114" s="3" t="s">
        <v>34</v>
      </c>
      <c r="I114" s="3">
        <f>2025-J114</f>
        <v>1957</v>
      </c>
      <c r="J114" s="3">
        <v>68</v>
      </c>
      <c r="K114" s="19">
        <v>4</v>
      </c>
      <c r="L114" s="19" t="s">
        <v>211</v>
      </c>
      <c r="M114" s="73" t="s">
        <v>54</v>
      </c>
      <c r="N114" s="3" t="s">
        <v>48</v>
      </c>
      <c r="O114" s="3" t="s">
        <v>55</v>
      </c>
      <c r="P114" s="3"/>
      <c r="Q114" s="8"/>
      <c r="R114" s="3"/>
      <c r="S114" s="3"/>
      <c r="T114" s="8"/>
    </row>
    <row r="115" spans="1:20">
      <c r="A115" s="3">
        <f t="shared" si="3"/>
        <v>114</v>
      </c>
      <c r="B115" s="19" t="s">
        <v>578</v>
      </c>
      <c r="C115" s="11" t="s">
        <v>561</v>
      </c>
      <c r="D115" s="11" t="s">
        <v>572</v>
      </c>
      <c r="E115" s="3" t="s">
        <v>579</v>
      </c>
      <c r="F115" s="3" t="s">
        <v>241</v>
      </c>
      <c r="G115" s="3" t="s">
        <v>580</v>
      </c>
      <c r="H115" s="3" t="s">
        <v>45</v>
      </c>
      <c r="I115" s="3">
        <f>2025-J115</f>
        <v>1960</v>
      </c>
      <c r="J115" s="3">
        <v>65</v>
      </c>
      <c r="K115" s="19">
        <v>5</v>
      </c>
      <c r="L115" s="19" t="s">
        <v>81</v>
      </c>
      <c r="M115" s="3" t="s">
        <v>68</v>
      </c>
      <c r="N115" s="3" t="s">
        <v>48</v>
      </c>
      <c r="O115" s="3" t="s">
        <v>69</v>
      </c>
      <c r="P115" s="3"/>
      <c r="Q115" s="8"/>
      <c r="R115" s="3"/>
      <c r="S115" s="3"/>
      <c r="T115" s="8"/>
    </row>
    <row r="116" spans="1:20">
      <c r="A116" s="3">
        <f t="shared" si="3"/>
        <v>115</v>
      </c>
      <c r="B116" s="19" t="s">
        <v>581</v>
      </c>
      <c r="C116" s="11" t="s">
        <v>561</v>
      </c>
      <c r="D116" s="11" t="s">
        <v>572</v>
      </c>
      <c r="E116" s="3" t="s">
        <v>582</v>
      </c>
      <c r="F116" s="3" t="s">
        <v>241</v>
      </c>
      <c r="G116" s="3" t="s">
        <v>583</v>
      </c>
      <c r="H116" s="3" t="s">
        <v>34</v>
      </c>
      <c r="I116" s="3">
        <f>2025-J116</f>
        <v>1970</v>
      </c>
      <c r="J116" s="3">
        <v>55</v>
      </c>
      <c r="K116" s="19">
        <v>4.7</v>
      </c>
      <c r="L116" s="19" t="s">
        <v>179</v>
      </c>
      <c r="M116" s="73" t="s">
        <v>68</v>
      </c>
      <c r="N116" s="3" t="s">
        <v>48</v>
      </c>
      <c r="O116" s="3" t="s">
        <v>69</v>
      </c>
      <c r="P116" s="3"/>
      <c r="Q116" s="8"/>
      <c r="R116" s="3"/>
      <c r="S116" s="3"/>
      <c r="T116" s="8"/>
    </row>
    <row r="117" spans="1:20">
      <c r="A117" s="3">
        <f t="shared" si="3"/>
        <v>116</v>
      </c>
      <c r="B117" s="19" t="s">
        <v>584</v>
      </c>
      <c r="C117" s="11" t="s">
        <v>572</v>
      </c>
      <c r="D117" s="11" t="s">
        <v>585</v>
      </c>
      <c r="E117" s="3" t="s">
        <v>586</v>
      </c>
      <c r="F117" s="3" t="s">
        <v>241</v>
      </c>
      <c r="G117" s="3" t="s">
        <v>587</v>
      </c>
      <c r="H117" s="3" t="s">
        <v>34</v>
      </c>
      <c r="I117" s="3">
        <f>2025-J117</f>
        <v>1967</v>
      </c>
      <c r="J117" s="3">
        <v>58</v>
      </c>
      <c r="K117" s="19">
        <v>4.7</v>
      </c>
      <c r="L117" s="19" t="s">
        <v>81</v>
      </c>
      <c r="M117" s="73" t="s">
        <v>73</v>
      </c>
      <c r="N117" s="3" t="s">
        <v>48</v>
      </c>
      <c r="O117" s="3" t="s">
        <v>127</v>
      </c>
      <c r="P117" s="3"/>
      <c r="Q117" s="8"/>
      <c r="R117" s="3"/>
      <c r="S117" s="3"/>
      <c r="T117" s="8"/>
    </row>
    <row r="118" spans="1:20">
      <c r="A118" s="3">
        <f t="shared" si="3"/>
        <v>117</v>
      </c>
      <c r="B118" s="19" t="s">
        <v>588</v>
      </c>
      <c r="C118" s="11" t="s">
        <v>572</v>
      </c>
      <c r="D118" s="11" t="s">
        <v>585</v>
      </c>
      <c r="E118" s="3" t="s">
        <v>589</v>
      </c>
      <c r="F118" s="3" t="s">
        <v>241</v>
      </c>
      <c r="G118" s="3" t="s">
        <v>590</v>
      </c>
      <c r="H118" s="3" t="s">
        <v>34</v>
      </c>
      <c r="I118" s="3">
        <f>2025-J118</f>
        <v>1957</v>
      </c>
      <c r="J118" s="3">
        <v>68</v>
      </c>
      <c r="K118" s="19">
        <v>4.5999999999999996</v>
      </c>
      <c r="L118" s="19" t="s">
        <v>81</v>
      </c>
      <c r="M118" s="73" t="s">
        <v>102</v>
      </c>
      <c r="N118" s="3" t="s">
        <v>48</v>
      </c>
      <c r="O118" s="3" t="s">
        <v>62</v>
      </c>
      <c r="P118" s="3"/>
      <c r="Q118" s="8"/>
      <c r="R118" s="3"/>
      <c r="S118" s="3"/>
      <c r="T118" s="8"/>
    </row>
    <row r="119" spans="1:20">
      <c r="A119" s="3">
        <f t="shared" si="3"/>
        <v>118</v>
      </c>
      <c r="B119" s="19" t="s">
        <v>591</v>
      </c>
      <c r="C119" s="58" t="s">
        <v>585</v>
      </c>
      <c r="D119" s="20" t="s">
        <v>592</v>
      </c>
      <c r="E119" s="5" t="s">
        <v>593</v>
      </c>
      <c r="F119" s="5" t="s">
        <v>241</v>
      </c>
      <c r="G119" s="5" t="s">
        <v>594</v>
      </c>
      <c r="H119" s="5" t="s">
        <v>34</v>
      </c>
      <c r="I119" s="5">
        <f>2025-J119</f>
        <v>1955</v>
      </c>
      <c r="J119" s="5">
        <v>70</v>
      </c>
      <c r="K119" s="18">
        <v>4.5</v>
      </c>
      <c r="L119" s="19" t="s">
        <v>68</v>
      </c>
      <c r="M119" s="73" t="s">
        <v>189</v>
      </c>
      <c r="N119" s="3" t="s">
        <v>48</v>
      </c>
      <c r="O119" s="3" t="s">
        <v>62</v>
      </c>
      <c r="P119" s="3"/>
      <c r="Q119" s="8"/>
      <c r="R119" s="3"/>
      <c r="S119" s="3"/>
      <c r="T119" s="9"/>
    </row>
    <row r="120" spans="1:20">
      <c r="A120" s="3">
        <f t="shared" si="3"/>
        <v>119</v>
      </c>
      <c r="B120" s="19" t="s">
        <v>595</v>
      </c>
      <c r="C120" s="4" t="s">
        <v>596</v>
      </c>
      <c r="D120" s="4" t="s">
        <v>597</v>
      </c>
      <c r="E120" s="3" t="s">
        <v>598</v>
      </c>
      <c r="F120" s="3" t="s">
        <v>241</v>
      </c>
      <c r="G120" s="3" t="s">
        <v>599</v>
      </c>
      <c r="H120" s="3" t="s">
        <v>45</v>
      </c>
      <c r="I120" s="3">
        <f>2025-J120</f>
        <v>1965</v>
      </c>
      <c r="J120" s="3">
        <v>60</v>
      </c>
      <c r="K120" s="19">
        <v>4.4000000000000004</v>
      </c>
      <c r="L120" s="19" t="s">
        <v>81</v>
      </c>
      <c r="M120" s="73" t="s">
        <v>600</v>
      </c>
      <c r="N120" s="3" t="s">
        <v>48</v>
      </c>
      <c r="O120" s="3" t="s">
        <v>55</v>
      </c>
      <c r="P120" s="3"/>
      <c r="Q120" s="8"/>
      <c r="R120" s="3"/>
      <c r="S120" s="3"/>
      <c r="T120" s="8"/>
    </row>
    <row r="121" spans="1:20">
      <c r="A121" s="5">
        <f t="shared" si="3"/>
        <v>120</v>
      </c>
      <c r="B121" s="18" t="s">
        <v>601</v>
      </c>
      <c r="C121" s="20" t="s">
        <v>596</v>
      </c>
      <c r="D121" s="20" t="s">
        <v>597</v>
      </c>
      <c r="E121" s="5" t="s">
        <v>602</v>
      </c>
      <c r="F121" s="5" t="s">
        <v>241</v>
      </c>
      <c r="G121" s="5" t="s">
        <v>603</v>
      </c>
      <c r="H121" s="5" t="s">
        <v>34</v>
      </c>
      <c r="I121" s="5">
        <f>2025-J121</f>
        <v>1968</v>
      </c>
      <c r="J121" s="5">
        <v>57</v>
      </c>
      <c r="K121" s="18">
        <v>3.5</v>
      </c>
      <c r="L121" s="19" t="s">
        <v>81</v>
      </c>
      <c r="M121" s="74" t="s">
        <v>81</v>
      </c>
      <c r="N121" s="3" t="s">
        <v>48</v>
      </c>
      <c r="O121" s="5" t="s">
        <v>55</v>
      </c>
      <c r="P121" s="5"/>
      <c r="Q121" s="8"/>
      <c r="R121" s="3"/>
      <c r="S121" s="3"/>
      <c r="T121" s="9"/>
    </row>
    <row r="122" spans="1:20">
      <c r="A122" s="3">
        <f t="shared" si="3"/>
        <v>121</v>
      </c>
      <c r="B122" s="3" t="s">
        <v>604</v>
      </c>
      <c r="C122" s="4" t="s">
        <v>605</v>
      </c>
      <c r="D122" s="4" t="s">
        <v>597</v>
      </c>
      <c r="E122" s="3" t="s">
        <v>606</v>
      </c>
      <c r="F122" s="3" t="s">
        <v>241</v>
      </c>
      <c r="G122" s="3" t="s">
        <v>607</v>
      </c>
      <c r="H122" s="3" t="s">
        <v>45</v>
      </c>
      <c r="I122" s="3">
        <f>2025-J122</f>
        <v>1963</v>
      </c>
      <c r="J122" s="3">
        <v>62</v>
      </c>
      <c r="K122" s="19">
        <v>2.8</v>
      </c>
      <c r="L122" s="19" t="s">
        <v>68</v>
      </c>
      <c r="M122" s="73" t="s">
        <v>68</v>
      </c>
      <c r="N122" s="3" t="s">
        <v>48</v>
      </c>
      <c r="O122" s="3" t="s">
        <v>69</v>
      </c>
      <c r="P122" s="3"/>
      <c r="Q122" s="8"/>
      <c r="R122" s="3"/>
      <c r="S122" s="3"/>
      <c r="T122" s="8"/>
    </row>
    <row r="123" spans="1:20">
      <c r="A123" s="3">
        <f t="shared" si="3"/>
        <v>122</v>
      </c>
      <c r="B123" s="5" t="s">
        <v>608</v>
      </c>
      <c r="C123" s="20" t="s">
        <v>605</v>
      </c>
      <c r="D123" s="20" t="s">
        <v>597</v>
      </c>
      <c r="E123" s="5" t="s">
        <v>609</v>
      </c>
      <c r="F123" s="5" t="s">
        <v>241</v>
      </c>
      <c r="G123" s="5" t="s">
        <v>610</v>
      </c>
      <c r="H123" s="5" t="s">
        <v>34</v>
      </c>
      <c r="I123" s="5">
        <f>2025-J123</f>
        <v>1968</v>
      </c>
      <c r="J123" s="5">
        <v>57</v>
      </c>
      <c r="K123" s="18">
        <v>5</v>
      </c>
      <c r="L123" s="19" t="s">
        <v>211</v>
      </c>
      <c r="M123" s="72" t="s">
        <v>611</v>
      </c>
      <c r="N123" s="3" t="s">
        <v>48</v>
      </c>
      <c r="O123" s="139" t="s">
        <v>75</v>
      </c>
      <c r="P123" s="3"/>
      <c r="Q123" s="8"/>
      <c r="R123" s="3"/>
      <c r="S123" s="3"/>
      <c r="T123" s="9"/>
    </row>
    <row r="124" spans="1:20">
      <c r="A124" s="19">
        <f t="shared" si="3"/>
        <v>123</v>
      </c>
      <c r="B124" s="3" t="s">
        <v>612</v>
      </c>
      <c r="C124" s="4" t="s">
        <v>596</v>
      </c>
      <c r="D124" s="4" t="s">
        <v>597</v>
      </c>
      <c r="E124" s="3" t="s">
        <v>613</v>
      </c>
      <c r="F124" s="3" t="s">
        <v>32</v>
      </c>
      <c r="G124" s="3" t="s">
        <v>614</v>
      </c>
      <c r="H124" s="3" t="s">
        <v>45</v>
      </c>
      <c r="I124" s="3">
        <f>2025-J124</f>
        <v>1968</v>
      </c>
      <c r="J124" s="3">
        <v>57</v>
      </c>
      <c r="K124" s="19">
        <v>3.5</v>
      </c>
      <c r="L124" s="19" t="s">
        <v>188</v>
      </c>
      <c r="M124" s="73" t="s">
        <v>81</v>
      </c>
      <c r="N124" s="3" t="s">
        <v>48</v>
      </c>
      <c r="O124" s="3" t="s">
        <v>55</v>
      </c>
      <c r="P124" s="3"/>
      <c r="Q124" s="8"/>
      <c r="R124" s="3"/>
      <c r="S124" s="3"/>
      <c r="T124" s="8"/>
    </row>
    <row r="125" spans="1:20">
      <c r="A125" s="19">
        <f t="shared" si="3"/>
        <v>124</v>
      </c>
      <c r="B125" s="3" t="s">
        <v>615</v>
      </c>
      <c r="C125" s="4" t="s">
        <v>616</v>
      </c>
      <c r="D125" s="4" t="s">
        <v>617</v>
      </c>
      <c r="E125" s="3" t="s">
        <v>618</v>
      </c>
      <c r="F125" s="3" t="s">
        <v>241</v>
      </c>
      <c r="G125" s="3" t="s">
        <v>619</v>
      </c>
      <c r="H125" s="3" t="s">
        <v>34</v>
      </c>
      <c r="I125" s="3">
        <f>2025-J125</f>
        <v>1960</v>
      </c>
      <c r="J125" s="3">
        <v>65</v>
      </c>
      <c r="K125" s="19">
        <v>4.2</v>
      </c>
      <c r="L125" s="19" t="s">
        <v>81</v>
      </c>
      <c r="M125" s="73" t="s">
        <v>73</v>
      </c>
      <c r="N125" s="3" t="s">
        <v>48</v>
      </c>
      <c r="O125" s="3" t="s">
        <v>127</v>
      </c>
      <c r="P125" s="3"/>
      <c r="Q125" s="8"/>
      <c r="R125" s="3"/>
      <c r="S125" s="3"/>
      <c r="T125" s="8" t="s">
        <v>620</v>
      </c>
    </row>
    <row r="126" spans="1:20">
      <c r="A126" s="19">
        <f t="shared" si="3"/>
        <v>125</v>
      </c>
      <c r="B126" s="3" t="s">
        <v>621</v>
      </c>
      <c r="C126" s="4" t="s">
        <v>616</v>
      </c>
      <c r="D126" s="3" t="s">
        <v>617</v>
      </c>
      <c r="E126" s="3" t="s">
        <v>622</v>
      </c>
      <c r="F126" s="3" t="s">
        <v>241</v>
      </c>
      <c r="G126" s="3" t="s">
        <v>623</v>
      </c>
      <c r="H126" s="3" t="s">
        <v>45</v>
      </c>
      <c r="I126" s="3">
        <f>2025-J126</f>
        <v>1974</v>
      </c>
      <c r="J126" s="3">
        <v>51</v>
      </c>
      <c r="K126" s="19">
        <v>4.3</v>
      </c>
      <c r="L126" s="19" t="s">
        <v>81</v>
      </c>
      <c r="M126" s="73" t="s">
        <v>102</v>
      </c>
      <c r="N126" s="3" t="s">
        <v>48</v>
      </c>
      <c r="O126" s="3" t="s">
        <v>62</v>
      </c>
      <c r="P126" s="3"/>
      <c r="Q126" s="8"/>
      <c r="R126" s="3"/>
      <c r="S126" s="3"/>
      <c r="T126" s="8"/>
    </row>
    <row r="127" spans="1:20">
      <c r="A127" s="19">
        <f t="shared" si="3"/>
        <v>126</v>
      </c>
      <c r="B127" s="3" t="s">
        <v>624</v>
      </c>
      <c r="C127" s="4" t="s">
        <v>625</v>
      </c>
      <c r="D127" s="3" t="s">
        <v>617</v>
      </c>
      <c r="E127" s="3" t="s">
        <v>626</v>
      </c>
      <c r="F127" s="3" t="s">
        <v>241</v>
      </c>
      <c r="G127" s="3" t="s">
        <v>627</v>
      </c>
      <c r="H127" s="3" t="s">
        <v>45</v>
      </c>
      <c r="I127" s="3">
        <f>2025-J127</f>
        <v>1958</v>
      </c>
      <c r="J127" s="3">
        <v>67</v>
      </c>
      <c r="K127" s="19">
        <v>5.4</v>
      </c>
      <c r="L127" s="19" t="s">
        <v>68</v>
      </c>
      <c r="M127" s="73" t="s">
        <v>102</v>
      </c>
      <c r="N127" s="3" t="s">
        <v>48</v>
      </c>
      <c r="O127" s="3" t="s">
        <v>62</v>
      </c>
      <c r="P127" s="3"/>
      <c r="Q127" s="8"/>
      <c r="R127" s="3"/>
      <c r="S127" s="3"/>
      <c r="T127" s="8"/>
    </row>
    <row r="128" spans="1:20">
      <c r="A128" s="19">
        <f t="shared" si="3"/>
        <v>127</v>
      </c>
      <c r="B128" s="3" t="s">
        <v>628</v>
      </c>
      <c r="C128" s="4" t="s">
        <v>625</v>
      </c>
      <c r="D128" s="3" t="s">
        <v>617</v>
      </c>
      <c r="E128" s="3" t="s">
        <v>629</v>
      </c>
      <c r="F128" s="3" t="s">
        <v>241</v>
      </c>
      <c r="G128" s="3" t="s">
        <v>630</v>
      </c>
      <c r="H128" s="3" t="s">
        <v>34</v>
      </c>
      <c r="I128" s="3">
        <f>2025-J128</f>
        <v>1968</v>
      </c>
      <c r="J128" s="3">
        <v>57</v>
      </c>
      <c r="K128" s="19">
        <v>5.4</v>
      </c>
      <c r="L128" s="19" t="s">
        <v>81</v>
      </c>
      <c r="M128" s="73" t="s">
        <v>211</v>
      </c>
      <c r="N128" s="3" t="s">
        <v>48</v>
      </c>
      <c r="O128" s="3" t="s">
        <v>168</v>
      </c>
      <c r="P128" s="3"/>
      <c r="Q128" s="8"/>
      <c r="R128" s="3"/>
      <c r="S128" s="3"/>
      <c r="T128" s="8"/>
    </row>
    <row r="129" spans="1:20">
      <c r="A129" s="19">
        <f t="shared" si="3"/>
        <v>128</v>
      </c>
      <c r="B129" s="3" t="s">
        <v>631</v>
      </c>
      <c r="C129" s="4" t="s">
        <v>625</v>
      </c>
      <c r="D129" s="3" t="s">
        <v>617</v>
      </c>
      <c r="E129" s="3" t="s">
        <v>632</v>
      </c>
      <c r="F129" s="5" t="s">
        <v>241</v>
      </c>
      <c r="G129" s="3" t="s">
        <v>633</v>
      </c>
      <c r="H129" s="3" t="s">
        <v>34</v>
      </c>
      <c r="I129" s="3">
        <f>2025-J129</f>
        <v>1966</v>
      </c>
      <c r="J129" s="3">
        <v>59</v>
      </c>
      <c r="K129" s="19">
        <v>5.2</v>
      </c>
      <c r="L129" s="19" t="s">
        <v>68</v>
      </c>
      <c r="M129" s="73" t="s">
        <v>279</v>
      </c>
      <c r="N129" s="3" t="s">
        <v>48</v>
      </c>
      <c r="O129" s="3" t="s">
        <v>62</v>
      </c>
      <c r="P129" s="3"/>
      <c r="Q129" s="8"/>
      <c r="R129" s="3"/>
      <c r="S129" s="3"/>
      <c r="T129" s="8"/>
    </row>
    <row r="130" spans="1:20" ht="60.75">
      <c r="A130" s="120">
        <f t="shared" si="3"/>
        <v>129</v>
      </c>
      <c r="B130" s="114" t="s">
        <v>634</v>
      </c>
      <c r="C130" s="138" t="s">
        <v>625</v>
      </c>
      <c r="D130" s="114" t="s">
        <v>617</v>
      </c>
      <c r="E130" s="120" t="s">
        <v>635</v>
      </c>
      <c r="F130" s="114" t="s">
        <v>241</v>
      </c>
      <c r="G130" s="119" t="s">
        <v>636</v>
      </c>
      <c r="H130" s="114" t="s">
        <v>45</v>
      </c>
      <c r="I130" s="114">
        <f>2025-J130</f>
        <v>1981</v>
      </c>
      <c r="J130" s="114">
        <v>44</v>
      </c>
      <c r="K130" s="120">
        <v>4.8</v>
      </c>
      <c r="L130" s="120" t="s">
        <v>81</v>
      </c>
      <c r="M130" s="137" t="s">
        <v>488</v>
      </c>
      <c r="N130" s="110" t="s">
        <v>377</v>
      </c>
      <c r="O130" s="110" t="s">
        <v>489</v>
      </c>
      <c r="P130" s="114"/>
      <c r="Q130" s="119"/>
      <c r="R130" s="114"/>
      <c r="S130" s="114"/>
      <c r="T130" s="119"/>
    </row>
    <row r="131" spans="1:20">
      <c r="A131" s="18">
        <f t="shared" si="3"/>
        <v>130</v>
      </c>
      <c r="B131" s="5" t="s">
        <v>637</v>
      </c>
      <c r="C131" s="20" t="s">
        <v>625</v>
      </c>
      <c r="D131" s="5" t="s">
        <v>617</v>
      </c>
      <c r="E131" s="18" t="s">
        <v>638</v>
      </c>
      <c r="F131" s="3" t="s">
        <v>241</v>
      </c>
      <c r="G131" s="9" t="s">
        <v>639</v>
      </c>
      <c r="H131" s="5" t="s">
        <v>45</v>
      </c>
      <c r="I131" s="5">
        <f>2025-J131</f>
        <v>1973</v>
      </c>
      <c r="J131" s="5">
        <v>52</v>
      </c>
      <c r="K131" s="18">
        <v>4.7</v>
      </c>
      <c r="L131" s="19" t="s">
        <v>188</v>
      </c>
      <c r="M131" s="80" t="s">
        <v>279</v>
      </c>
      <c r="N131" s="3" t="s">
        <v>48</v>
      </c>
      <c r="O131" s="3" t="s">
        <v>62</v>
      </c>
      <c r="P131" s="8"/>
      <c r="Q131" s="8"/>
      <c r="R131" s="3"/>
      <c r="S131" s="3"/>
      <c r="T131" s="9"/>
    </row>
    <row r="132" spans="1:20">
      <c r="A132" s="3">
        <f t="shared" si="3"/>
        <v>131</v>
      </c>
      <c r="B132" s="3" t="s">
        <v>640</v>
      </c>
      <c r="C132" s="4" t="s">
        <v>641</v>
      </c>
      <c r="D132" s="4" t="s">
        <v>642</v>
      </c>
      <c r="E132" s="19" t="s">
        <v>643</v>
      </c>
      <c r="F132" s="3" t="s">
        <v>241</v>
      </c>
      <c r="G132" s="8" t="s">
        <v>644</v>
      </c>
      <c r="H132" s="3" t="s">
        <v>34</v>
      </c>
      <c r="I132" s="3">
        <f>2025-J132</f>
        <v>1955</v>
      </c>
      <c r="J132" s="3">
        <v>70</v>
      </c>
      <c r="K132" s="19">
        <v>4</v>
      </c>
      <c r="L132" s="19" t="s">
        <v>102</v>
      </c>
      <c r="M132" s="80" t="s">
        <v>279</v>
      </c>
      <c r="N132" s="3" t="s">
        <v>48</v>
      </c>
      <c r="O132" s="3" t="s">
        <v>62</v>
      </c>
      <c r="P132" s="8"/>
      <c r="Q132" s="8"/>
      <c r="R132" s="3"/>
      <c r="S132" s="3"/>
      <c r="T132" s="8"/>
    </row>
    <row r="133" spans="1:20">
      <c r="A133" s="3">
        <f t="shared" si="3"/>
        <v>132</v>
      </c>
      <c r="B133" s="3" t="s">
        <v>645</v>
      </c>
      <c r="C133" s="4" t="s">
        <v>641</v>
      </c>
      <c r="D133" s="4" t="s">
        <v>642</v>
      </c>
      <c r="E133" s="19" t="s">
        <v>646</v>
      </c>
      <c r="F133" s="3" t="s">
        <v>241</v>
      </c>
      <c r="G133" s="8" t="s">
        <v>647</v>
      </c>
      <c r="H133" s="3" t="s">
        <v>45</v>
      </c>
      <c r="I133" s="3">
        <f>2025-J133</f>
        <v>1956</v>
      </c>
      <c r="J133" s="3">
        <v>69</v>
      </c>
      <c r="K133" s="19">
        <v>4.4000000000000004</v>
      </c>
      <c r="L133" s="19" t="s">
        <v>68</v>
      </c>
      <c r="M133" s="73" t="s">
        <v>211</v>
      </c>
      <c r="N133" s="68" t="s">
        <v>48</v>
      </c>
      <c r="O133" s="68" t="s">
        <v>168</v>
      </c>
      <c r="P133" s="3"/>
      <c r="Q133" s="8"/>
      <c r="R133" s="3"/>
      <c r="S133" s="3"/>
      <c r="T133" s="8"/>
    </row>
    <row r="134" spans="1:20">
      <c r="A134" s="3">
        <f>A133+1</f>
        <v>133</v>
      </c>
      <c r="B134" s="3" t="s">
        <v>648</v>
      </c>
      <c r="C134" s="4" t="s">
        <v>641</v>
      </c>
      <c r="D134" s="4" t="s">
        <v>642</v>
      </c>
      <c r="E134" s="19" t="s">
        <v>649</v>
      </c>
      <c r="F134" s="3" t="s">
        <v>241</v>
      </c>
      <c r="G134" s="8" t="s">
        <v>650</v>
      </c>
      <c r="H134" s="3" t="s">
        <v>34</v>
      </c>
      <c r="I134" s="5">
        <f>2025-J134</f>
        <v>1961</v>
      </c>
      <c r="J134" s="3">
        <v>64</v>
      </c>
      <c r="K134" s="19">
        <v>4.5</v>
      </c>
      <c r="L134" s="19" t="s">
        <v>81</v>
      </c>
      <c r="M134" s="73" t="s">
        <v>81</v>
      </c>
      <c r="N134" s="3" t="s">
        <v>48</v>
      </c>
      <c r="O134" s="3" t="s">
        <v>55</v>
      </c>
      <c r="P134" s="3"/>
      <c r="Q134" s="8"/>
      <c r="R134" s="3"/>
      <c r="S134" s="3"/>
      <c r="T134" s="8"/>
    </row>
    <row r="135" spans="1:20">
      <c r="A135" s="3">
        <f t="shared" si="3"/>
        <v>134</v>
      </c>
      <c r="B135" s="3" t="s">
        <v>651</v>
      </c>
      <c r="C135" s="4" t="s">
        <v>641</v>
      </c>
      <c r="D135" s="4" t="s">
        <v>642</v>
      </c>
      <c r="E135" s="19" t="s">
        <v>652</v>
      </c>
      <c r="F135" s="3" t="s">
        <v>241</v>
      </c>
      <c r="G135" s="8" t="s">
        <v>653</v>
      </c>
      <c r="H135" s="19" t="s">
        <v>45</v>
      </c>
      <c r="I135" s="3">
        <f>2025-J135</f>
        <v>1980</v>
      </c>
      <c r="J135" s="8">
        <v>45</v>
      </c>
      <c r="K135" s="19">
        <v>5</v>
      </c>
      <c r="L135" s="19" t="s">
        <v>81</v>
      </c>
      <c r="M135" s="73" t="s">
        <v>211</v>
      </c>
      <c r="N135" s="5" t="s">
        <v>48</v>
      </c>
      <c r="O135" s="5" t="s">
        <v>168</v>
      </c>
      <c r="P135" s="5"/>
      <c r="Q135" s="8"/>
      <c r="R135" s="3"/>
      <c r="S135" s="3"/>
      <c r="T135" s="8"/>
    </row>
    <row r="136" spans="1:20" ht="60.75">
      <c r="A136" s="3">
        <f t="shared" si="3"/>
        <v>135</v>
      </c>
      <c r="B136" s="114" t="s">
        <v>654</v>
      </c>
      <c r="C136" s="136" t="s">
        <v>641</v>
      </c>
      <c r="D136" s="136" t="s">
        <v>642</v>
      </c>
      <c r="E136" s="116" t="s">
        <v>655</v>
      </c>
      <c r="F136" s="114" t="s">
        <v>241</v>
      </c>
      <c r="G136" s="115" t="s">
        <v>656</v>
      </c>
      <c r="H136" s="116" t="s">
        <v>45</v>
      </c>
      <c r="I136" s="114">
        <f>2025-J136</f>
        <v>1955</v>
      </c>
      <c r="J136" s="115">
        <v>70</v>
      </c>
      <c r="K136" s="116">
        <v>5</v>
      </c>
      <c r="L136" s="120" t="s">
        <v>81</v>
      </c>
      <c r="M136" s="151" t="s">
        <v>657</v>
      </c>
      <c r="N136" s="114" t="s">
        <v>377</v>
      </c>
      <c r="O136" s="114" t="s">
        <v>658</v>
      </c>
      <c r="P136" s="114"/>
      <c r="Q136" s="119"/>
      <c r="R136" s="114"/>
      <c r="S136" s="114"/>
      <c r="T136" s="115"/>
    </row>
    <row r="137" spans="1:20">
      <c r="A137" s="3">
        <f t="shared" si="3"/>
        <v>136</v>
      </c>
      <c r="B137" s="19" t="s">
        <v>659</v>
      </c>
      <c r="C137" s="4" t="s">
        <v>642</v>
      </c>
      <c r="D137" s="4" t="s">
        <v>660</v>
      </c>
      <c r="E137" s="19" t="s">
        <v>661</v>
      </c>
      <c r="F137" s="3" t="s">
        <v>241</v>
      </c>
      <c r="G137" s="8" t="s">
        <v>662</v>
      </c>
      <c r="H137" s="19" t="s">
        <v>45</v>
      </c>
      <c r="I137" s="3">
        <f>2025-J137</f>
        <v>1953</v>
      </c>
      <c r="J137" s="8">
        <v>72</v>
      </c>
      <c r="K137" s="19">
        <v>5</v>
      </c>
      <c r="L137" s="19" t="s">
        <v>144</v>
      </c>
      <c r="M137" s="80" t="s">
        <v>68</v>
      </c>
      <c r="N137" s="3" t="s">
        <v>48</v>
      </c>
      <c r="O137" s="3" t="s">
        <v>69</v>
      </c>
      <c r="P137" s="3"/>
      <c r="Q137" s="8"/>
      <c r="R137" s="3"/>
      <c r="S137" s="3"/>
      <c r="T137" s="8"/>
    </row>
    <row r="138" spans="1:20">
      <c r="A138" s="3">
        <f t="shared" si="3"/>
        <v>137</v>
      </c>
      <c r="B138" s="18" t="s">
        <v>663</v>
      </c>
      <c r="C138" s="20" t="s">
        <v>642</v>
      </c>
      <c r="D138" s="4" t="s">
        <v>660</v>
      </c>
      <c r="E138" s="18" t="s">
        <v>664</v>
      </c>
      <c r="F138" s="5" t="s">
        <v>241</v>
      </c>
      <c r="G138" s="9" t="s">
        <v>665</v>
      </c>
      <c r="H138" s="18" t="s">
        <v>34</v>
      </c>
      <c r="I138" s="3">
        <f>2025-J138</f>
        <v>1952</v>
      </c>
      <c r="J138" s="9">
        <v>73</v>
      </c>
      <c r="K138" s="18">
        <v>4</v>
      </c>
      <c r="L138" s="19" t="s">
        <v>68</v>
      </c>
      <c r="M138" s="78" t="s">
        <v>68</v>
      </c>
      <c r="N138" s="5" t="s">
        <v>48</v>
      </c>
      <c r="O138" s="5" t="s">
        <v>69</v>
      </c>
      <c r="P138" s="5"/>
      <c r="Q138" s="8"/>
      <c r="R138" s="3"/>
      <c r="S138" s="3"/>
      <c r="T138" s="9"/>
    </row>
    <row r="139" spans="1:20">
      <c r="A139" s="19">
        <f t="shared" si="3"/>
        <v>138</v>
      </c>
      <c r="B139" s="40" t="s">
        <v>666</v>
      </c>
      <c r="C139" s="54" t="s">
        <v>660</v>
      </c>
      <c r="D139" s="54" t="s">
        <v>667</v>
      </c>
      <c r="E139" s="40" t="s">
        <v>668</v>
      </c>
      <c r="F139" s="40" t="s">
        <v>241</v>
      </c>
      <c r="G139" s="40" t="s">
        <v>669</v>
      </c>
      <c r="H139" s="44" t="s">
        <v>45</v>
      </c>
      <c r="I139" s="40">
        <f>2025-J139</f>
        <v>1941</v>
      </c>
      <c r="J139" s="43">
        <v>84</v>
      </c>
      <c r="K139" s="44">
        <v>6.5</v>
      </c>
      <c r="L139" s="44" t="s">
        <v>81</v>
      </c>
      <c r="M139" s="76" t="s">
        <v>324</v>
      </c>
      <c r="N139" s="40" t="s">
        <v>48</v>
      </c>
      <c r="O139" s="40" t="s">
        <v>127</v>
      </c>
      <c r="P139" s="40"/>
      <c r="Q139" s="43"/>
      <c r="R139" s="40"/>
      <c r="S139" s="40"/>
      <c r="T139" s="43" t="s">
        <v>244</v>
      </c>
    </row>
    <row r="140" spans="1:20">
      <c r="A140" s="19">
        <f t="shared" si="3"/>
        <v>139</v>
      </c>
      <c r="B140" s="3" t="s">
        <v>670</v>
      </c>
      <c r="C140" s="4" t="s">
        <v>660</v>
      </c>
      <c r="D140" s="20" t="s">
        <v>667</v>
      </c>
      <c r="E140" s="5" t="s">
        <v>671</v>
      </c>
      <c r="F140" s="5" t="s">
        <v>241</v>
      </c>
      <c r="G140" s="5" t="s">
        <v>455</v>
      </c>
      <c r="H140" s="18" t="s">
        <v>45</v>
      </c>
      <c r="I140" s="3">
        <f>2025-J140</f>
        <v>1986</v>
      </c>
      <c r="J140" s="9">
        <v>39</v>
      </c>
      <c r="K140" s="18">
        <v>4.5</v>
      </c>
      <c r="L140" s="19" t="s">
        <v>81</v>
      </c>
      <c r="M140" s="73" t="s">
        <v>68</v>
      </c>
      <c r="N140" s="3" t="s">
        <v>48</v>
      </c>
      <c r="O140" s="3" t="s">
        <v>69</v>
      </c>
      <c r="P140" s="3"/>
      <c r="Q140" s="8"/>
      <c r="R140" s="3"/>
      <c r="S140" s="3"/>
      <c r="T140" s="9"/>
    </row>
    <row r="141" spans="1:20">
      <c r="A141" s="19">
        <f t="shared" si="3"/>
        <v>140</v>
      </c>
      <c r="B141" s="3" t="s">
        <v>672</v>
      </c>
      <c r="C141" s="11" t="s">
        <v>660</v>
      </c>
      <c r="D141" s="4" t="s">
        <v>667</v>
      </c>
      <c r="E141" s="3" t="s">
        <v>673</v>
      </c>
      <c r="F141" s="3" t="s">
        <v>674</v>
      </c>
      <c r="G141" s="3" t="s">
        <v>675</v>
      </c>
      <c r="H141" s="19" t="s">
        <v>34</v>
      </c>
      <c r="I141" s="3">
        <f>2025-J141</f>
        <v>1959</v>
      </c>
      <c r="J141" s="8">
        <v>66</v>
      </c>
      <c r="K141" s="3">
        <v>4.5</v>
      </c>
      <c r="L141" s="141" t="s">
        <v>508</v>
      </c>
      <c r="M141" s="73"/>
      <c r="N141" s="3"/>
      <c r="O141" s="3"/>
      <c r="P141" s="3"/>
      <c r="Q141" s="143"/>
      <c r="R141" s="68"/>
      <c r="S141" s="68"/>
      <c r="T141" s="3" t="s">
        <v>549</v>
      </c>
    </row>
    <row r="142" spans="1:20">
      <c r="A142" s="19">
        <f t="shared" si="3"/>
        <v>141</v>
      </c>
      <c r="B142" s="3" t="s">
        <v>676</v>
      </c>
      <c r="C142" s="11" t="s">
        <v>660</v>
      </c>
      <c r="D142" s="4" t="s">
        <v>667</v>
      </c>
      <c r="E142" s="3" t="s">
        <v>677</v>
      </c>
      <c r="F142" s="3" t="s">
        <v>674</v>
      </c>
      <c r="G142" s="3" t="s">
        <v>678</v>
      </c>
      <c r="H142" s="19" t="s">
        <v>34</v>
      </c>
      <c r="I142" s="3">
        <f>2025-J142</f>
        <v>1966</v>
      </c>
      <c r="J142" s="8">
        <v>59</v>
      </c>
      <c r="K142" s="3">
        <v>5</v>
      </c>
      <c r="L142" s="19" t="s">
        <v>508</v>
      </c>
      <c r="M142" s="73"/>
      <c r="N142" s="3"/>
      <c r="O142" s="3"/>
      <c r="P142" s="3"/>
      <c r="Q142" s="8"/>
      <c r="R142" s="3"/>
      <c r="S142" s="3"/>
      <c r="T142" s="3" t="s">
        <v>549</v>
      </c>
    </row>
    <row r="143" spans="1:20">
      <c r="A143" s="19">
        <f t="shared" si="3"/>
        <v>142</v>
      </c>
      <c r="B143" s="40" t="s">
        <v>679</v>
      </c>
      <c r="C143" s="57" t="s">
        <v>667</v>
      </c>
      <c r="D143" s="45" t="s">
        <v>680</v>
      </c>
      <c r="E143" s="46" t="s">
        <v>681</v>
      </c>
      <c r="F143" s="46" t="s">
        <v>241</v>
      </c>
      <c r="G143" s="46" t="s">
        <v>682</v>
      </c>
      <c r="H143" s="56" t="s">
        <v>34</v>
      </c>
      <c r="I143" s="46">
        <f>2025-J143</f>
        <v>1961</v>
      </c>
      <c r="J143" s="48">
        <v>64</v>
      </c>
      <c r="K143" s="46">
        <v>4.4000000000000004</v>
      </c>
      <c r="L143" s="56" t="s">
        <v>81</v>
      </c>
      <c r="M143" s="77" t="s">
        <v>351</v>
      </c>
      <c r="N143" s="40" t="s">
        <v>48</v>
      </c>
      <c r="O143" s="40" t="s">
        <v>49</v>
      </c>
      <c r="P143" s="40"/>
      <c r="Q143" s="48"/>
      <c r="R143" s="46"/>
      <c r="S143" s="46"/>
      <c r="T143" s="46" t="s">
        <v>244</v>
      </c>
    </row>
    <row r="144" spans="1:20">
      <c r="A144" s="19">
        <f t="shared" si="3"/>
        <v>143</v>
      </c>
      <c r="B144" s="19" t="s">
        <v>683</v>
      </c>
      <c r="C144" s="4" t="s">
        <v>667</v>
      </c>
      <c r="D144" s="20" t="s">
        <v>684</v>
      </c>
      <c r="E144" s="5" t="s">
        <v>685</v>
      </c>
      <c r="F144" s="5" t="s">
        <v>241</v>
      </c>
      <c r="G144" s="5" t="s">
        <v>686</v>
      </c>
      <c r="H144" s="5" t="s">
        <v>34</v>
      </c>
      <c r="I144" s="5">
        <f>2025-J144</f>
        <v>1966</v>
      </c>
      <c r="J144" s="5">
        <v>59</v>
      </c>
      <c r="K144" s="5">
        <v>3.5</v>
      </c>
      <c r="L144" s="18" t="s">
        <v>68</v>
      </c>
      <c r="M144" s="73" t="s">
        <v>189</v>
      </c>
      <c r="N144" s="3" t="s">
        <v>48</v>
      </c>
      <c r="O144" s="3" t="s">
        <v>62</v>
      </c>
      <c r="P144" s="3"/>
      <c r="Q144" s="9"/>
      <c r="R144" s="5"/>
      <c r="S144" s="5"/>
      <c r="T144" s="5"/>
    </row>
    <row r="145" spans="1:20">
      <c r="A145" s="19">
        <f t="shared" si="3"/>
        <v>144</v>
      </c>
      <c r="B145" s="140" t="s">
        <v>687</v>
      </c>
      <c r="C145" s="152" t="s">
        <v>667</v>
      </c>
      <c r="D145" s="153" t="s">
        <v>684</v>
      </c>
      <c r="E145" s="129" t="s">
        <v>688</v>
      </c>
      <c r="F145" s="129" t="s">
        <v>241</v>
      </c>
      <c r="G145" s="129" t="s">
        <v>689</v>
      </c>
      <c r="H145" s="129" t="s">
        <v>45</v>
      </c>
      <c r="I145" s="129">
        <f>2025-J145</f>
        <v>1951</v>
      </c>
      <c r="J145" s="129">
        <v>74</v>
      </c>
      <c r="K145" s="129">
        <v>4</v>
      </c>
      <c r="L145" s="140" t="s">
        <v>68</v>
      </c>
      <c r="M145" s="132" t="s">
        <v>388</v>
      </c>
      <c r="N145" s="129" t="s">
        <v>292</v>
      </c>
      <c r="O145" s="129" t="s">
        <v>690</v>
      </c>
      <c r="P145" s="129"/>
      <c r="Q145" s="142"/>
      <c r="R145" s="129"/>
      <c r="S145" s="129"/>
      <c r="T145" s="129"/>
    </row>
    <row r="146" spans="1:20">
      <c r="A146" s="19">
        <f t="shared" si="3"/>
        <v>145</v>
      </c>
      <c r="B146" s="44" t="s">
        <v>691</v>
      </c>
      <c r="C146" s="57" t="s">
        <v>692</v>
      </c>
      <c r="D146" s="45" t="s">
        <v>684</v>
      </c>
      <c r="E146" s="46" t="s">
        <v>693</v>
      </c>
      <c r="F146" s="46" t="s">
        <v>241</v>
      </c>
      <c r="G146" s="46" t="s">
        <v>694</v>
      </c>
      <c r="H146" s="46" t="s">
        <v>34</v>
      </c>
      <c r="I146" s="46">
        <f>2025-J146</f>
        <v>1969</v>
      </c>
      <c r="J146" s="46">
        <v>56</v>
      </c>
      <c r="K146" s="46">
        <v>5.5</v>
      </c>
      <c r="L146" s="56" t="s">
        <v>211</v>
      </c>
      <c r="M146" s="76" t="s">
        <v>68</v>
      </c>
      <c r="N146" s="40" t="s">
        <v>48</v>
      </c>
      <c r="O146" s="40" t="s">
        <v>69</v>
      </c>
      <c r="P146" s="40"/>
      <c r="Q146" s="48"/>
      <c r="R146" s="46"/>
      <c r="S146" s="46"/>
      <c r="T146" s="46" t="s">
        <v>244</v>
      </c>
    </row>
    <row r="147" spans="1:20">
      <c r="A147" s="19">
        <f t="shared" si="3"/>
        <v>146</v>
      </c>
      <c r="B147" s="44" t="s">
        <v>695</v>
      </c>
      <c r="C147" s="57" t="s">
        <v>684</v>
      </c>
      <c r="D147" s="45" t="s">
        <v>696</v>
      </c>
      <c r="E147" s="46" t="s">
        <v>697</v>
      </c>
      <c r="F147" s="46" t="s">
        <v>241</v>
      </c>
      <c r="G147" s="46" t="s">
        <v>698</v>
      </c>
      <c r="H147" s="46" t="s">
        <v>34</v>
      </c>
      <c r="I147" s="46">
        <f>2025-J147</f>
        <v>1971</v>
      </c>
      <c r="J147" s="46">
        <v>54</v>
      </c>
      <c r="K147" s="46">
        <v>4.3</v>
      </c>
      <c r="L147" s="56" t="s">
        <v>211</v>
      </c>
      <c r="M147" s="76" t="s">
        <v>211</v>
      </c>
      <c r="N147" s="40" t="s">
        <v>48</v>
      </c>
      <c r="O147" s="40" t="s">
        <v>168</v>
      </c>
      <c r="P147" s="40"/>
      <c r="Q147" s="48"/>
      <c r="R147" s="46"/>
      <c r="S147" s="46"/>
      <c r="T147" s="46" t="s">
        <v>244</v>
      </c>
    </row>
    <row r="148" spans="1:20">
      <c r="A148" s="19">
        <f t="shared" si="3"/>
        <v>147</v>
      </c>
      <c r="B148" s="44" t="s">
        <v>699</v>
      </c>
      <c r="C148" s="57" t="s">
        <v>684</v>
      </c>
      <c r="D148" s="45" t="s">
        <v>696</v>
      </c>
      <c r="E148" s="46" t="s">
        <v>700</v>
      </c>
      <c r="F148" s="46" t="s">
        <v>241</v>
      </c>
      <c r="G148" s="46" t="s">
        <v>701</v>
      </c>
      <c r="H148" s="46" t="s">
        <v>34</v>
      </c>
      <c r="I148" s="46">
        <f>2025-J148</f>
        <v>1957</v>
      </c>
      <c r="J148" s="46">
        <v>68</v>
      </c>
      <c r="K148" s="46">
        <v>4</v>
      </c>
      <c r="L148" s="56" t="s">
        <v>211</v>
      </c>
      <c r="M148" s="77" t="s">
        <v>351</v>
      </c>
      <c r="N148" s="40" t="s">
        <v>48</v>
      </c>
      <c r="O148" s="40" t="s">
        <v>49</v>
      </c>
      <c r="P148" s="40"/>
      <c r="Q148" s="48"/>
      <c r="R148" s="46"/>
      <c r="S148" s="46"/>
      <c r="T148" s="46" t="s">
        <v>244</v>
      </c>
    </row>
    <row r="149" spans="1:20">
      <c r="A149" s="19">
        <f t="shared" si="3"/>
        <v>148</v>
      </c>
      <c r="B149" s="19" t="s">
        <v>702</v>
      </c>
      <c r="C149" s="4" t="s">
        <v>684</v>
      </c>
      <c r="D149" s="4" t="s">
        <v>696</v>
      </c>
      <c r="E149" s="3" t="s">
        <v>703</v>
      </c>
      <c r="F149" s="19" t="s">
        <v>241</v>
      </c>
      <c r="G149" s="3" t="s">
        <v>704</v>
      </c>
      <c r="H149" s="3" t="s">
        <v>34</v>
      </c>
      <c r="I149" s="3">
        <f>2025-J149</f>
        <v>1952</v>
      </c>
      <c r="J149" s="3">
        <v>73</v>
      </c>
      <c r="K149" s="3">
        <v>4.0999999999999996</v>
      </c>
      <c r="L149" s="19" t="s">
        <v>211</v>
      </c>
      <c r="M149" s="73" t="s">
        <v>290</v>
      </c>
      <c r="N149" s="3" t="s">
        <v>48</v>
      </c>
      <c r="O149" s="3" t="s">
        <v>399</v>
      </c>
      <c r="P149" s="3"/>
      <c r="Q149" s="8"/>
      <c r="R149" s="3"/>
      <c r="S149" s="3"/>
      <c r="T149" s="3"/>
    </row>
    <row r="150" spans="1:20">
      <c r="A150" s="19">
        <f t="shared" si="3"/>
        <v>149</v>
      </c>
      <c r="B150" s="19" t="s">
        <v>705</v>
      </c>
      <c r="C150" s="20" t="s">
        <v>684</v>
      </c>
      <c r="D150" s="20" t="s">
        <v>696</v>
      </c>
      <c r="E150" s="5" t="s">
        <v>706</v>
      </c>
      <c r="F150" s="18" t="s">
        <v>241</v>
      </c>
      <c r="G150" s="3" t="s">
        <v>707</v>
      </c>
      <c r="H150" s="3" t="s">
        <v>34</v>
      </c>
      <c r="I150" s="3">
        <f>2025-J150</f>
        <v>1960</v>
      </c>
      <c r="J150" s="3">
        <v>65</v>
      </c>
      <c r="K150" s="3">
        <v>4.9000000000000004</v>
      </c>
      <c r="L150" s="19" t="s">
        <v>211</v>
      </c>
      <c r="M150" s="73" t="s">
        <v>102</v>
      </c>
      <c r="N150" s="3" t="s">
        <v>48</v>
      </c>
      <c r="O150" s="3" t="s">
        <v>62</v>
      </c>
      <c r="P150" s="3"/>
      <c r="Q150" s="9"/>
      <c r="R150" s="5"/>
      <c r="S150" s="5"/>
      <c r="T150" s="5"/>
    </row>
    <row r="151" spans="1:20">
      <c r="A151" s="44">
        <f t="shared" si="3"/>
        <v>150</v>
      </c>
      <c r="B151" s="44" t="s">
        <v>708</v>
      </c>
      <c r="C151" s="54" t="s">
        <v>696</v>
      </c>
      <c r="D151" s="40" t="s">
        <v>709</v>
      </c>
      <c r="E151" s="40" t="s">
        <v>710</v>
      </c>
      <c r="F151" s="44" t="s">
        <v>241</v>
      </c>
      <c r="G151" s="40" t="s">
        <v>711</v>
      </c>
      <c r="H151" s="40" t="s">
        <v>712</v>
      </c>
      <c r="I151" s="40">
        <f>2025-J151</f>
        <v>1971</v>
      </c>
      <c r="J151" s="40">
        <v>54</v>
      </c>
      <c r="K151" s="40">
        <v>4.5</v>
      </c>
      <c r="L151" s="44" t="s">
        <v>81</v>
      </c>
      <c r="M151" s="76" t="s">
        <v>87</v>
      </c>
      <c r="N151" s="40" t="s">
        <v>48</v>
      </c>
      <c r="O151" s="40" t="s">
        <v>62</v>
      </c>
      <c r="P151" s="40"/>
      <c r="Q151" s="43"/>
      <c r="R151" s="40"/>
      <c r="S151" s="40"/>
      <c r="T151" s="40" t="s">
        <v>713</v>
      </c>
    </row>
    <row r="152" spans="1:20">
      <c r="A152" s="19">
        <f t="shared" si="3"/>
        <v>151</v>
      </c>
      <c r="B152" s="18" t="s">
        <v>714</v>
      </c>
      <c r="C152" s="4" t="s">
        <v>696</v>
      </c>
      <c r="D152" s="3" t="s">
        <v>709</v>
      </c>
      <c r="E152" s="3" t="s">
        <v>715</v>
      </c>
      <c r="F152" s="19" t="s">
        <v>241</v>
      </c>
      <c r="G152" s="3" t="s">
        <v>716</v>
      </c>
      <c r="H152" s="3" t="s">
        <v>45</v>
      </c>
      <c r="I152" s="3">
        <f>2025-J152</f>
        <v>1980</v>
      </c>
      <c r="J152" s="3">
        <v>45</v>
      </c>
      <c r="K152" s="3">
        <v>3.9</v>
      </c>
      <c r="L152" s="19" t="s">
        <v>188</v>
      </c>
      <c r="M152" s="73" t="s">
        <v>717</v>
      </c>
      <c r="N152" s="73" t="s">
        <v>48</v>
      </c>
      <c r="O152" s="3" t="s">
        <v>69</v>
      </c>
      <c r="P152" s="3"/>
      <c r="Q152" s="8"/>
      <c r="R152" s="3"/>
      <c r="S152" s="3"/>
      <c r="T152" s="3"/>
    </row>
    <row r="153" spans="1:20">
      <c r="A153" s="44">
        <f t="shared" si="3"/>
        <v>152</v>
      </c>
      <c r="B153" s="44" t="s">
        <v>718</v>
      </c>
      <c r="C153" s="54" t="s">
        <v>719</v>
      </c>
      <c r="D153" s="40" t="s">
        <v>720</v>
      </c>
      <c r="E153" s="40" t="s">
        <v>721</v>
      </c>
      <c r="F153" s="44" t="s">
        <v>241</v>
      </c>
      <c r="G153" s="40" t="s">
        <v>306</v>
      </c>
      <c r="H153" s="40" t="s">
        <v>45</v>
      </c>
      <c r="I153" s="40">
        <f>2025-J153</f>
        <v>1945</v>
      </c>
      <c r="J153" s="40">
        <v>80</v>
      </c>
      <c r="K153" s="40">
        <v>5</v>
      </c>
      <c r="L153" s="44" t="s">
        <v>211</v>
      </c>
      <c r="M153" s="76" t="s">
        <v>81</v>
      </c>
      <c r="N153" s="75" t="s">
        <v>48</v>
      </c>
      <c r="O153" s="40" t="s">
        <v>55</v>
      </c>
      <c r="P153" s="40"/>
      <c r="Q153" s="43"/>
      <c r="R153" s="40"/>
      <c r="S153" s="40"/>
      <c r="T153" s="40" t="s">
        <v>722</v>
      </c>
    </row>
    <row r="154" spans="1:20">
      <c r="A154" s="19">
        <f t="shared" si="3"/>
        <v>153</v>
      </c>
      <c r="B154" s="19" t="s">
        <v>723</v>
      </c>
      <c r="C154" s="3" t="s">
        <v>720</v>
      </c>
      <c r="D154" s="3" t="s">
        <v>724</v>
      </c>
      <c r="E154" s="3" t="s">
        <v>725</v>
      </c>
      <c r="F154" s="19" t="s">
        <v>241</v>
      </c>
      <c r="G154" s="3" t="s">
        <v>726</v>
      </c>
      <c r="H154" s="3" t="s">
        <v>45</v>
      </c>
      <c r="I154" s="3">
        <f>2025-J154</f>
        <v>1974</v>
      </c>
      <c r="J154" s="3">
        <v>51</v>
      </c>
      <c r="K154" s="3">
        <v>5</v>
      </c>
      <c r="L154" s="19" t="s">
        <v>68</v>
      </c>
      <c r="M154" s="80" t="s">
        <v>87</v>
      </c>
      <c r="N154" s="73" t="s">
        <v>48</v>
      </c>
      <c r="O154" s="8" t="s">
        <v>62</v>
      </c>
      <c r="P154" s="3"/>
      <c r="Q154" s="8"/>
      <c r="R154" s="3"/>
      <c r="S154" s="3"/>
      <c r="T154" s="3"/>
    </row>
    <row r="155" spans="1:20">
      <c r="A155" s="19">
        <f t="shared" si="3"/>
        <v>154</v>
      </c>
      <c r="B155" s="19" t="s">
        <v>727</v>
      </c>
      <c r="C155" s="5" t="s">
        <v>724</v>
      </c>
      <c r="D155" s="5" t="s">
        <v>728</v>
      </c>
      <c r="E155" s="5" t="s">
        <v>729</v>
      </c>
      <c r="F155" s="18" t="s">
        <v>241</v>
      </c>
      <c r="G155" s="3" t="s">
        <v>730</v>
      </c>
      <c r="H155" s="3" t="s">
        <v>34</v>
      </c>
      <c r="I155" s="3">
        <v>1961</v>
      </c>
      <c r="J155" s="3">
        <v>64</v>
      </c>
      <c r="K155" s="3">
        <v>4.7</v>
      </c>
      <c r="L155" s="19" t="s">
        <v>81</v>
      </c>
      <c r="M155" s="80" t="s">
        <v>87</v>
      </c>
      <c r="N155" s="73" t="s">
        <v>48</v>
      </c>
      <c r="O155" s="8" t="s">
        <v>62</v>
      </c>
      <c r="P155" s="3"/>
      <c r="Q155" s="9"/>
      <c r="R155" s="5"/>
      <c r="S155" s="5"/>
      <c r="T155" s="5"/>
    </row>
    <row r="156" spans="1:20">
      <c r="A156" s="19">
        <f t="shared" si="3"/>
        <v>155</v>
      </c>
      <c r="B156" s="19" t="s">
        <v>731</v>
      </c>
      <c r="C156" s="4" t="s">
        <v>732</v>
      </c>
      <c r="D156" s="4" t="s">
        <v>733</v>
      </c>
      <c r="E156" s="3" t="s">
        <v>734</v>
      </c>
      <c r="F156" s="19" t="s">
        <v>241</v>
      </c>
      <c r="G156" s="3" t="s">
        <v>735</v>
      </c>
      <c r="H156" s="3" t="s">
        <v>34</v>
      </c>
      <c r="I156" s="3">
        <v>1964</v>
      </c>
      <c r="J156" s="3">
        <v>61</v>
      </c>
      <c r="K156" s="3">
        <v>3.9</v>
      </c>
      <c r="L156" s="19" t="s">
        <v>81</v>
      </c>
      <c r="M156" s="80" t="s">
        <v>197</v>
      </c>
      <c r="N156" s="73" t="s">
        <v>48</v>
      </c>
      <c r="O156" s="8" t="s">
        <v>127</v>
      </c>
      <c r="P156" s="3"/>
      <c r="Q156" s="8"/>
      <c r="R156" s="3"/>
      <c r="S156" s="3"/>
      <c r="T156" s="3"/>
    </row>
    <row r="157" spans="1:20">
      <c r="A157" s="19">
        <f t="shared" si="3"/>
        <v>156</v>
      </c>
      <c r="B157" s="19" t="s">
        <v>736</v>
      </c>
      <c r="C157" s="4" t="s">
        <v>732</v>
      </c>
      <c r="D157" s="20" t="s">
        <v>733</v>
      </c>
      <c r="E157" s="5" t="s">
        <v>737</v>
      </c>
      <c r="F157" s="18" t="s">
        <v>241</v>
      </c>
      <c r="G157" s="3" t="s">
        <v>306</v>
      </c>
      <c r="H157" s="3" t="s">
        <v>45</v>
      </c>
      <c r="I157" s="3">
        <v>1979</v>
      </c>
      <c r="J157" s="3">
        <v>46</v>
      </c>
      <c r="K157" s="3">
        <v>4.9000000000000004</v>
      </c>
      <c r="L157" s="19" t="s">
        <v>68</v>
      </c>
      <c r="M157" s="78" t="s">
        <v>81</v>
      </c>
      <c r="N157" s="74" t="s">
        <v>48</v>
      </c>
      <c r="O157" s="9" t="s">
        <v>55</v>
      </c>
      <c r="P157" s="3"/>
      <c r="Q157" s="9"/>
      <c r="R157" s="5"/>
      <c r="S157" s="5"/>
      <c r="T157" s="5"/>
    </row>
    <row r="158" spans="1:20">
      <c r="A158" s="19">
        <f t="shared" si="3"/>
        <v>157</v>
      </c>
      <c r="B158" s="19" t="s">
        <v>738</v>
      </c>
      <c r="C158" s="58" t="s">
        <v>733</v>
      </c>
      <c r="D158" s="4" t="s">
        <v>739</v>
      </c>
      <c r="E158" s="5" t="s">
        <v>740</v>
      </c>
      <c r="F158" s="18" t="s">
        <v>241</v>
      </c>
      <c r="G158" s="3" t="s">
        <v>741</v>
      </c>
      <c r="H158" s="3" t="s">
        <v>34</v>
      </c>
      <c r="I158" s="3">
        <v>1961</v>
      </c>
      <c r="J158" s="3">
        <v>64</v>
      </c>
      <c r="K158" s="3">
        <v>4</v>
      </c>
      <c r="L158" s="19" t="s">
        <v>68</v>
      </c>
      <c r="M158" s="73" t="s">
        <v>54</v>
      </c>
      <c r="N158" s="73" t="s">
        <v>48</v>
      </c>
      <c r="O158" s="3" t="s">
        <v>55</v>
      </c>
      <c r="P158" s="8"/>
      <c r="Q158" s="9"/>
      <c r="R158" s="5"/>
      <c r="S158" s="5"/>
      <c r="T158" s="5"/>
    </row>
    <row r="159" spans="1:20">
      <c r="A159" s="19">
        <f t="shared" si="3"/>
        <v>158</v>
      </c>
      <c r="B159" s="19" t="s">
        <v>742</v>
      </c>
      <c r="C159" s="4" t="s">
        <v>733</v>
      </c>
      <c r="D159" s="4" t="s">
        <v>739</v>
      </c>
      <c r="E159" s="3" t="s">
        <v>743</v>
      </c>
      <c r="F159" s="19" t="s">
        <v>241</v>
      </c>
      <c r="G159" s="3" t="s">
        <v>744</v>
      </c>
      <c r="H159" s="3" t="s">
        <v>712</v>
      </c>
      <c r="I159" s="3">
        <v>1956</v>
      </c>
      <c r="J159" s="3">
        <v>69</v>
      </c>
      <c r="K159" s="3">
        <v>4.4000000000000004</v>
      </c>
      <c r="L159" s="19" t="s">
        <v>290</v>
      </c>
      <c r="M159" s="73" t="s">
        <v>745</v>
      </c>
      <c r="N159" s="73" t="s">
        <v>48</v>
      </c>
      <c r="O159" s="3" t="s">
        <v>399</v>
      </c>
      <c r="P159" s="143"/>
      <c r="Q159" s="3"/>
      <c r="R159" s="3"/>
      <c r="S159" s="3"/>
      <c r="T159" s="3"/>
    </row>
    <row r="160" spans="1:20">
      <c r="A160" s="19">
        <f t="shared" si="3"/>
        <v>159</v>
      </c>
      <c r="B160" s="19" t="s">
        <v>746</v>
      </c>
      <c r="C160" s="4" t="s">
        <v>739</v>
      </c>
      <c r="D160" s="11" t="s">
        <v>747</v>
      </c>
      <c r="E160" s="5" t="s">
        <v>748</v>
      </c>
      <c r="F160" s="18" t="s">
        <v>241</v>
      </c>
      <c r="G160" s="5" t="s">
        <v>749</v>
      </c>
      <c r="H160" s="5" t="s">
        <v>34</v>
      </c>
      <c r="I160" s="5">
        <v>1960</v>
      </c>
      <c r="J160" s="5">
        <v>65</v>
      </c>
      <c r="K160" s="5">
        <v>3.9</v>
      </c>
      <c r="L160" s="18" t="s">
        <v>54</v>
      </c>
      <c r="M160" s="73" t="s">
        <v>81</v>
      </c>
      <c r="N160" s="73" t="s">
        <v>48</v>
      </c>
      <c r="O160" s="3" t="s">
        <v>55</v>
      </c>
      <c r="P160" s="9"/>
      <c r="Q160" s="5"/>
      <c r="R160" s="5"/>
      <c r="S160" s="5"/>
      <c r="T160" s="5"/>
    </row>
    <row r="161" spans="1:20">
      <c r="A161" s="19">
        <f t="shared" si="3"/>
        <v>160</v>
      </c>
      <c r="B161" s="19" t="s">
        <v>750</v>
      </c>
      <c r="C161" s="11" t="s">
        <v>747</v>
      </c>
      <c r="D161" s="7" t="s">
        <v>751</v>
      </c>
      <c r="E161" s="3" t="s">
        <v>752</v>
      </c>
      <c r="F161" s="3" t="s">
        <v>241</v>
      </c>
      <c r="G161" s="3" t="s">
        <v>753</v>
      </c>
      <c r="H161" s="3" t="s">
        <v>45</v>
      </c>
      <c r="I161" s="3">
        <v>1954</v>
      </c>
      <c r="J161" s="3">
        <v>71</v>
      </c>
      <c r="K161" s="3">
        <v>4.7</v>
      </c>
      <c r="L161" s="19" t="s">
        <v>211</v>
      </c>
      <c r="M161" s="73" t="s">
        <v>133</v>
      </c>
      <c r="N161" s="73" t="s">
        <v>48</v>
      </c>
      <c r="O161" s="3" t="s">
        <v>127</v>
      </c>
      <c r="P161" s="8"/>
      <c r="Q161" s="3"/>
      <c r="R161" s="3"/>
      <c r="S161" s="3"/>
      <c r="T161" s="3"/>
    </row>
    <row r="162" spans="1:20">
      <c r="A162" s="19">
        <f t="shared" si="3"/>
        <v>161</v>
      </c>
      <c r="B162" s="19" t="s">
        <v>754</v>
      </c>
      <c r="C162" s="58" t="s">
        <v>747</v>
      </c>
      <c r="D162" s="14" t="s">
        <v>751</v>
      </c>
      <c r="E162" s="5" t="s">
        <v>755</v>
      </c>
      <c r="F162" s="5" t="s">
        <v>674</v>
      </c>
      <c r="G162" s="5" t="s">
        <v>756</v>
      </c>
      <c r="H162" s="5" t="s">
        <v>34</v>
      </c>
      <c r="I162" s="5">
        <v>1974</v>
      </c>
      <c r="J162" s="5">
        <v>51</v>
      </c>
      <c r="K162" s="5">
        <v>4.8</v>
      </c>
      <c r="L162" s="18" t="s">
        <v>757</v>
      </c>
      <c r="M162" s="73"/>
      <c r="N162" s="73"/>
      <c r="O162" s="3"/>
      <c r="P162" s="9"/>
      <c r="Q162" s="5"/>
      <c r="R162" s="5"/>
      <c r="S162" s="5"/>
      <c r="T162" s="5" t="s">
        <v>549</v>
      </c>
    </row>
    <row r="163" spans="1:20">
      <c r="A163" s="19">
        <f t="shared" si="3"/>
        <v>162</v>
      </c>
      <c r="B163" s="19" t="s">
        <v>758</v>
      </c>
      <c r="C163" s="4" t="s">
        <v>759</v>
      </c>
      <c r="D163" s="4" t="s">
        <v>760</v>
      </c>
      <c r="E163" s="3" t="s">
        <v>761</v>
      </c>
      <c r="F163" s="3" t="s">
        <v>241</v>
      </c>
      <c r="G163" s="3" t="s">
        <v>762</v>
      </c>
      <c r="H163" s="3" t="s">
        <v>45</v>
      </c>
      <c r="I163" s="3">
        <v>1949</v>
      </c>
      <c r="J163" s="3">
        <v>76</v>
      </c>
      <c r="K163" s="3">
        <v>5</v>
      </c>
      <c r="L163" s="19" t="s">
        <v>68</v>
      </c>
      <c r="M163" s="73" t="s">
        <v>279</v>
      </c>
      <c r="N163" s="73" t="s">
        <v>48</v>
      </c>
      <c r="O163" s="3" t="s">
        <v>62</v>
      </c>
      <c r="P163" s="8"/>
      <c r="Q163" s="3"/>
      <c r="R163" s="3"/>
      <c r="S163" s="3"/>
      <c r="T163" s="3"/>
    </row>
    <row r="164" spans="1:20">
      <c r="A164" s="19">
        <f t="shared" si="3"/>
        <v>163</v>
      </c>
      <c r="B164" s="19" t="s">
        <v>763</v>
      </c>
      <c r="C164" s="20" t="s">
        <v>759</v>
      </c>
      <c r="D164" s="4" t="s">
        <v>760</v>
      </c>
      <c r="E164" s="5" t="s">
        <v>764</v>
      </c>
      <c r="F164" s="5" t="s">
        <v>241</v>
      </c>
      <c r="G164" s="5" t="s">
        <v>765</v>
      </c>
      <c r="H164" s="5" t="s">
        <v>34</v>
      </c>
      <c r="I164" s="5">
        <v>1971</v>
      </c>
      <c r="J164" s="5">
        <v>54</v>
      </c>
      <c r="K164" s="5">
        <v>4.5999999999999996</v>
      </c>
      <c r="L164" s="18" t="s">
        <v>766</v>
      </c>
      <c r="M164" s="73" t="s">
        <v>54</v>
      </c>
      <c r="N164" s="73" t="s">
        <v>48</v>
      </c>
      <c r="O164" s="3" t="s">
        <v>55</v>
      </c>
      <c r="P164" s="9"/>
      <c r="Q164" s="5"/>
      <c r="R164" s="5"/>
      <c r="S164" s="5"/>
      <c r="T164" s="5"/>
    </row>
    <row r="165" spans="1:20">
      <c r="A165" s="19">
        <f t="shared" si="3"/>
        <v>164</v>
      </c>
      <c r="B165" s="19" t="s">
        <v>767</v>
      </c>
      <c r="C165" s="20" t="s">
        <v>760</v>
      </c>
      <c r="D165" s="4" t="s">
        <v>768</v>
      </c>
      <c r="E165" s="5" t="s">
        <v>769</v>
      </c>
      <c r="F165" s="5" t="s">
        <v>241</v>
      </c>
      <c r="G165" s="5" t="s">
        <v>770</v>
      </c>
      <c r="H165" s="5" t="s">
        <v>34</v>
      </c>
      <c r="I165" s="5">
        <v>1972</v>
      </c>
      <c r="J165" s="5">
        <v>77</v>
      </c>
      <c r="K165" s="5">
        <v>4.5</v>
      </c>
      <c r="L165" s="18" t="s">
        <v>68</v>
      </c>
      <c r="M165" s="73" t="s">
        <v>279</v>
      </c>
      <c r="N165" s="73" t="s">
        <v>48</v>
      </c>
      <c r="O165" s="3" t="s">
        <v>62</v>
      </c>
      <c r="P165" s="9"/>
      <c r="Q165" s="5"/>
      <c r="R165" s="5"/>
      <c r="S165" s="5"/>
      <c r="T165" s="5"/>
    </row>
    <row r="166" spans="1:20">
      <c r="A166" s="19">
        <f t="shared" si="3"/>
        <v>165</v>
      </c>
      <c r="B166" s="19" t="s">
        <v>771</v>
      </c>
      <c r="C166" s="4" t="s">
        <v>760</v>
      </c>
      <c r="D166" s="4" t="s">
        <v>768</v>
      </c>
      <c r="E166" s="3" t="s">
        <v>772</v>
      </c>
      <c r="F166" s="3" t="s">
        <v>241</v>
      </c>
      <c r="G166" s="5" t="s">
        <v>773</v>
      </c>
      <c r="H166" s="5" t="s">
        <v>34</v>
      </c>
      <c r="I166" s="5">
        <v>1973</v>
      </c>
      <c r="J166" s="5">
        <v>73</v>
      </c>
      <c r="K166" s="5">
        <v>4.4000000000000004</v>
      </c>
      <c r="L166" s="18" t="s">
        <v>81</v>
      </c>
      <c r="M166" s="73" t="s">
        <v>133</v>
      </c>
      <c r="N166" s="73" t="s">
        <v>48</v>
      </c>
      <c r="O166" s="3" t="s">
        <v>127</v>
      </c>
      <c r="P166" s="8"/>
      <c r="Q166" s="3"/>
      <c r="R166" s="3"/>
      <c r="S166" s="3"/>
      <c r="T166" s="3" t="s">
        <v>549</v>
      </c>
    </row>
    <row r="167" spans="1:20">
      <c r="A167" s="19">
        <f t="shared" si="3"/>
        <v>166</v>
      </c>
      <c r="B167" s="19" t="s">
        <v>774</v>
      </c>
      <c r="C167" s="4" t="s">
        <v>760</v>
      </c>
      <c r="D167" s="4" t="s">
        <v>768</v>
      </c>
      <c r="E167" s="3" t="s">
        <v>775</v>
      </c>
      <c r="F167" s="18" t="s">
        <v>241</v>
      </c>
      <c r="G167" s="3" t="s">
        <v>776</v>
      </c>
      <c r="H167" s="3" t="s">
        <v>45</v>
      </c>
      <c r="I167" s="3">
        <v>1974</v>
      </c>
      <c r="J167" s="3">
        <v>53</v>
      </c>
      <c r="K167" s="3">
        <v>4.5999999999999996</v>
      </c>
      <c r="L167" s="19" t="s">
        <v>68</v>
      </c>
      <c r="M167" s="73" t="s">
        <v>54</v>
      </c>
      <c r="N167" s="73" t="s">
        <v>48</v>
      </c>
      <c r="O167" s="3" t="s">
        <v>55</v>
      </c>
      <c r="P167" s="8"/>
      <c r="Q167" s="3"/>
      <c r="R167" s="3"/>
      <c r="S167" s="3"/>
      <c r="T167" s="3"/>
    </row>
    <row r="168" spans="1:20">
      <c r="A168" s="19">
        <f t="shared" si="3"/>
        <v>167</v>
      </c>
      <c r="B168" s="19" t="s">
        <v>777</v>
      </c>
      <c r="C168" s="4" t="s">
        <v>760</v>
      </c>
      <c r="D168" s="4" t="s">
        <v>768</v>
      </c>
      <c r="E168" s="19" t="s">
        <v>778</v>
      </c>
      <c r="F168" s="3" t="s">
        <v>241</v>
      </c>
      <c r="G168" s="8" t="s">
        <v>779</v>
      </c>
      <c r="H168" s="3" t="s">
        <v>34</v>
      </c>
      <c r="I168" s="3">
        <v>1975</v>
      </c>
      <c r="J168" s="3">
        <v>52</v>
      </c>
      <c r="K168" s="3">
        <v>4.5</v>
      </c>
      <c r="L168" s="19" t="s">
        <v>81</v>
      </c>
      <c r="M168" s="73" t="s">
        <v>102</v>
      </c>
      <c r="N168" s="157" t="s">
        <v>48</v>
      </c>
      <c r="O168" s="3" t="s">
        <v>62</v>
      </c>
      <c r="P168" s="8"/>
      <c r="Q168" s="3"/>
      <c r="R168" s="3"/>
      <c r="S168" s="3"/>
      <c r="T168" s="3" t="s">
        <v>549</v>
      </c>
    </row>
    <row r="169" spans="1:20">
      <c r="A169" s="19">
        <f t="shared" si="3"/>
        <v>168</v>
      </c>
      <c r="B169" s="19" t="s">
        <v>780</v>
      </c>
      <c r="C169" s="4" t="s">
        <v>768</v>
      </c>
      <c r="D169" s="14" t="s">
        <v>781</v>
      </c>
      <c r="E169" s="18" t="s">
        <v>782</v>
      </c>
      <c r="F169" s="3" t="s">
        <v>241</v>
      </c>
      <c r="G169" s="8" t="s">
        <v>783</v>
      </c>
      <c r="H169" s="3" t="s">
        <v>45</v>
      </c>
      <c r="I169" s="3">
        <v>1952</v>
      </c>
      <c r="J169" s="3">
        <v>73</v>
      </c>
      <c r="K169" s="3">
        <v>4.3</v>
      </c>
      <c r="L169" s="19" t="s">
        <v>68</v>
      </c>
      <c r="M169" s="73" t="s">
        <v>81</v>
      </c>
      <c r="N169" s="73" t="s">
        <v>48</v>
      </c>
      <c r="O169" s="3" t="s">
        <v>55</v>
      </c>
      <c r="P169" s="9"/>
      <c r="Q169" s="5"/>
      <c r="R169" s="5"/>
      <c r="S169" s="5"/>
      <c r="T169" s="5"/>
    </row>
    <row r="170" spans="1:20">
      <c r="A170" s="19">
        <f t="shared" si="3"/>
        <v>169</v>
      </c>
      <c r="B170" s="19" t="s">
        <v>784</v>
      </c>
      <c r="C170" s="13" t="s">
        <v>781</v>
      </c>
      <c r="D170" s="4" t="s">
        <v>785</v>
      </c>
      <c r="E170" s="19" t="s">
        <v>786</v>
      </c>
      <c r="F170" s="3" t="s">
        <v>241</v>
      </c>
      <c r="G170" s="8" t="s">
        <v>787</v>
      </c>
      <c r="H170" s="3" t="s">
        <v>34</v>
      </c>
      <c r="I170" s="3">
        <v>1956</v>
      </c>
      <c r="J170" s="3">
        <v>69</v>
      </c>
      <c r="K170" s="3">
        <v>3.9</v>
      </c>
      <c r="L170" s="19" t="s">
        <v>81</v>
      </c>
      <c r="M170" s="72" t="s">
        <v>788</v>
      </c>
      <c r="N170" s="73" t="s">
        <v>48</v>
      </c>
      <c r="O170" s="3" t="s">
        <v>49</v>
      </c>
      <c r="P170" s="8"/>
      <c r="Q170" s="3"/>
      <c r="R170" s="3"/>
      <c r="S170" s="3"/>
      <c r="T170" s="3"/>
    </row>
    <row r="171" spans="1:20">
      <c r="A171" s="19">
        <f t="shared" si="3"/>
        <v>170</v>
      </c>
      <c r="B171" s="19" t="s">
        <v>789</v>
      </c>
      <c r="C171" s="12" t="s">
        <v>781</v>
      </c>
      <c r="D171" s="20" t="s">
        <v>785</v>
      </c>
      <c r="E171" s="18" t="s">
        <v>790</v>
      </c>
      <c r="F171" s="5" t="s">
        <v>241</v>
      </c>
      <c r="G171" s="9" t="s">
        <v>791</v>
      </c>
      <c r="H171" s="5" t="s">
        <v>34</v>
      </c>
      <c r="I171" s="5">
        <v>1969</v>
      </c>
      <c r="J171" s="5">
        <v>56</v>
      </c>
      <c r="K171" s="5">
        <v>4.2</v>
      </c>
      <c r="L171" s="18" t="s">
        <v>81</v>
      </c>
      <c r="M171" s="72" t="s">
        <v>788</v>
      </c>
      <c r="N171" s="73" t="s">
        <v>48</v>
      </c>
      <c r="O171" s="3" t="s">
        <v>49</v>
      </c>
      <c r="P171" s="9"/>
      <c r="Q171" s="5"/>
      <c r="R171" s="5"/>
      <c r="S171" s="5"/>
      <c r="T171" s="5" t="s">
        <v>792</v>
      </c>
    </row>
    <row r="172" spans="1:20">
      <c r="A172" s="19">
        <f t="shared" si="3"/>
        <v>171</v>
      </c>
      <c r="B172" s="19" t="s">
        <v>793</v>
      </c>
      <c r="C172" s="7" t="s">
        <v>781</v>
      </c>
      <c r="D172" s="4" t="s">
        <v>785</v>
      </c>
      <c r="E172" s="3" t="s">
        <v>794</v>
      </c>
      <c r="F172" s="3" t="s">
        <v>241</v>
      </c>
      <c r="G172" s="3" t="s">
        <v>795</v>
      </c>
      <c r="H172" s="3" t="s">
        <v>34</v>
      </c>
      <c r="I172" s="3">
        <v>1970</v>
      </c>
      <c r="J172" s="3">
        <v>55</v>
      </c>
      <c r="K172" s="3">
        <v>4.3</v>
      </c>
      <c r="L172" s="19" t="s">
        <v>81</v>
      </c>
      <c r="M172" s="73" t="s">
        <v>211</v>
      </c>
      <c r="N172" s="73" t="s">
        <v>48</v>
      </c>
      <c r="O172" s="3" t="s">
        <v>168</v>
      </c>
      <c r="P172" s="8"/>
      <c r="Q172" s="3"/>
      <c r="R172" s="3"/>
      <c r="S172" s="3"/>
      <c r="T172" s="3"/>
    </row>
    <row r="173" spans="1:20">
      <c r="A173" s="19">
        <f t="shared" si="3"/>
        <v>172</v>
      </c>
      <c r="B173" s="19" t="s">
        <v>796</v>
      </c>
      <c r="C173" s="7" t="s">
        <v>781</v>
      </c>
      <c r="D173" s="4" t="s">
        <v>785</v>
      </c>
      <c r="E173" s="3" t="s">
        <v>797</v>
      </c>
      <c r="F173" s="3" t="s">
        <v>241</v>
      </c>
      <c r="G173" s="3" t="s">
        <v>798</v>
      </c>
      <c r="H173" s="3" t="s">
        <v>34</v>
      </c>
      <c r="I173" s="3">
        <v>1947</v>
      </c>
      <c r="J173" s="3">
        <v>78</v>
      </c>
      <c r="K173" s="3">
        <v>3.9</v>
      </c>
      <c r="L173" s="19" t="s">
        <v>81</v>
      </c>
      <c r="M173" s="73" t="s">
        <v>54</v>
      </c>
      <c r="N173" s="73" t="s">
        <v>48</v>
      </c>
      <c r="O173" s="3" t="s">
        <v>55</v>
      </c>
      <c r="P173" s="8"/>
      <c r="Q173" s="3"/>
      <c r="R173" s="3"/>
      <c r="S173" s="3"/>
      <c r="T173" s="3"/>
    </row>
    <row r="174" spans="1:20">
      <c r="A174" s="19">
        <f t="shared" si="3"/>
        <v>173</v>
      </c>
      <c r="B174" s="19" t="s">
        <v>799</v>
      </c>
      <c r="C174" s="4" t="s">
        <v>785</v>
      </c>
      <c r="D174" s="7" t="s">
        <v>800</v>
      </c>
      <c r="E174" s="3" t="s">
        <v>801</v>
      </c>
      <c r="F174" s="3" t="s">
        <v>241</v>
      </c>
      <c r="G174" s="3" t="s">
        <v>802</v>
      </c>
      <c r="H174" s="3" t="s">
        <v>34</v>
      </c>
      <c r="I174" s="3">
        <f>2025-J174</f>
        <v>1959</v>
      </c>
      <c r="J174" s="3">
        <v>66</v>
      </c>
      <c r="K174" s="3">
        <v>4.5</v>
      </c>
      <c r="L174" s="19" t="s">
        <v>68</v>
      </c>
      <c r="M174" s="73" t="s">
        <v>61</v>
      </c>
      <c r="N174" s="73" t="s">
        <v>48</v>
      </c>
      <c r="O174" s="3" t="s">
        <v>62</v>
      </c>
      <c r="P174" s="8"/>
      <c r="Q174" s="3"/>
      <c r="R174" s="3"/>
      <c r="S174" s="3"/>
      <c r="T174" s="3"/>
    </row>
    <row r="175" spans="1:20">
      <c r="A175" s="19">
        <f t="shared" ref="A175:A191" si="4">A174+1</f>
        <v>174</v>
      </c>
      <c r="B175" s="19" t="s">
        <v>803</v>
      </c>
      <c r="C175" s="4" t="s">
        <v>785</v>
      </c>
      <c r="D175" s="7" t="s">
        <v>800</v>
      </c>
      <c r="E175" s="3" t="s">
        <v>804</v>
      </c>
      <c r="F175" s="3" t="s">
        <v>241</v>
      </c>
      <c r="G175" s="3" t="s">
        <v>805</v>
      </c>
      <c r="H175" s="3" t="s">
        <v>45</v>
      </c>
      <c r="I175" s="3">
        <f>2025-J175</f>
        <v>1972</v>
      </c>
      <c r="J175" s="3">
        <v>53</v>
      </c>
      <c r="K175" s="3">
        <v>4.5999999999999996</v>
      </c>
      <c r="L175" s="19" t="s">
        <v>81</v>
      </c>
      <c r="M175" s="73" t="s">
        <v>126</v>
      </c>
      <c r="N175" s="73" t="s">
        <v>48</v>
      </c>
      <c r="O175" s="3" t="s">
        <v>127</v>
      </c>
      <c r="P175" s="8"/>
      <c r="Q175" s="3"/>
      <c r="R175" s="3"/>
      <c r="S175" s="3"/>
      <c r="T175" s="3"/>
    </row>
    <row r="176" spans="1:20">
      <c r="A176" s="19">
        <f t="shared" si="4"/>
        <v>175</v>
      </c>
      <c r="B176" s="19" t="s">
        <v>806</v>
      </c>
      <c r="C176" s="4" t="s">
        <v>785</v>
      </c>
      <c r="D176" s="7" t="s">
        <v>800</v>
      </c>
      <c r="E176" s="3" t="s">
        <v>807</v>
      </c>
      <c r="F176" s="3" t="s">
        <v>241</v>
      </c>
      <c r="G176" s="3" t="s">
        <v>808</v>
      </c>
      <c r="H176" s="3" t="s">
        <v>34</v>
      </c>
      <c r="I176" s="3">
        <f>2025-J176</f>
        <v>1965</v>
      </c>
      <c r="J176" s="3">
        <v>60</v>
      </c>
      <c r="K176" s="3">
        <v>4.8</v>
      </c>
      <c r="L176" s="19" t="s">
        <v>81</v>
      </c>
      <c r="M176" s="73" t="s">
        <v>54</v>
      </c>
      <c r="N176" s="73" t="s">
        <v>48</v>
      </c>
      <c r="O176" s="3" t="s">
        <v>55</v>
      </c>
      <c r="P176" s="8"/>
      <c r="Q176" s="3"/>
      <c r="R176" s="3"/>
      <c r="S176" s="3"/>
      <c r="T176" s="3" t="s">
        <v>549</v>
      </c>
    </row>
    <row r="177" spans="1:20">
      <c r="A177" s="19">
        <f t="shared" si="4"/>
        <v>176</v>
      </c>
      <c r="B177" s="19" t="s">
        <v>809</v>
      </c>
      <c r="C177" s="4" t="s">
        <v>785</v>
      </c>
      <c r="D177" s="7" t="s">
        <v>800</v>
      </c>
      <c r="E177" s="3" t="s">
        <v>810</v>
      </c>
      <c r="F177" s="3" t="s">
        <v>241</v>
      </c>
      <c r="G177" s="3" t="s">
        <v>711</v>
      </c>
      <c r="H177" s="3" t="s">
        <v>34</v>
      </c>
      <c r="I177" s="3">
        <f>2025-J177</f>
        <v>1956</v>
      </c>
      <c r="J177" s="3">
        <v>69</v>
      </c>
      <c r="K177" s="3">
        <v>4.2</v>
      </c>
      <c r="L177" s="19" t="s">
        <v>68</v>
      </c>
      <c r="M177" s="73" t="s">
        <v>290</v>
      </c>
      <c r="N177" s="157" t="s">
        <v>48</v>
      </c>
      <c r="O177" s="3" t="s">
        <v>399</v>
      </c>
      <c r="P177" s="8"/>
      <c r="Q177" s="3"/>
      <c r="R177" s="3"/>
      <c r="S177" s="3"/>
      <c r="T177" s="3"/>
    </row>
    <row r="178" spans="1:20">
      <c r="A178" s="19">
        <f t="shared" si="4"/>
        <v>177</v>
      </c>
      <c r="B178" s="19" t="s">
        <v>811</v>
      </c>
      <c r="C178" s="4" t="s">
        <v>812</v>
      </c>
      <c r="D178" s="4" t="s">
        <v>813</v>
      </c>
      <c r="E178" s="3" t="s">
        <v>814</v>
      </c>
      <c r="F178" s="3" t="s">
        <v>241</v>
      </c>
      <c r="G178" s="3" t="s">
        <v>815</v>
      </c>
      <c r="H178" s="3" t="s">
        <v>45</v>
      </c>
      <c r="I178" s="3">
        <v>1959</v>
      </c>
      <c r="J178" s="3">
        <v>68</v>
      </c>
      <c r="K178" s="3">
        <v>4.5999999999999996</v>
      </c>
      <c r="L178" s="19" t="s">
        <v>68</v>
      </c>
      <c r="M178" s="73" t="s">
        <v>290</v>
      </c>
      <c r="N178" s="73" t="s">
        <v>48</v>
      </c>
      <c r="O178" s="3" t="s">
        <v>399</v>
      </c>
      <c r="P178" s="8"/>
      <c r="Q178" s="3"/>
      <c r="R178" s="3"/>
      <c r="S178" s="3"/>
      <c r="T178" s="3"/>
    </row>
    <row r="179" spans="1:20">
      <c r="A179" s="19">
        <f t="shared" si="4"/>
        <v>178</v>
      </c>
      <c r="B179" s="19" t="s">
        <v>816</v>
      </c>
      <c r="C179" s="4" t="s">
        <v>812</v>
      </c>
      <c r="D179" s="4" t="s">
        <v>813</v>
      </c>
      <c r="E179" s="3" t="s">
        <v>817</v>
      </c>
      <c r="F179" s="3" t="s">
        <v>241</v>
      </c>
      <c r="G179" s="3" t="s">
        <v>818</v>
      </c>
      <c r="H179" s="3" t="s">
        <v>45</v>
      </c>
      <c r="I179" s="3">
        <v>1947</v>
      </c>
      <c r="J179" s="3">
        <v>78</v>
      </c>
      <c r="K179" s="3">
        <v>4</v>
      </c>
      <c r="L179" s="19" t="s">
        <v>81</v>
      </c>
      <c r="M179" s="73"/>
      <c r="N179" s="73"/>
      <c r="O179" s="3"/>
      <c r="P179" s="8"/>
      <c r="Q179" s="3"/>
      <c r="R179" s="3"/>
      <c r="S179" s="3"/>
      <c r="T179" s="3"/>
    </row>
    <row r="180" spans="1:20">
      <c r="A180" s="19">
        <f t="shared" si="4"/>
        <v>179</v>
      </c>
      <c r="B180" s="19" t="s">
        <v>819</v>
      </c>
      <c r="C180" s="3" t="s">
        <v>820</v>
      </c>
      <c r="D180" s="4" t="s">
        <v>821</v>
      </c>
      <c r="E180" s="3" t="s">
        <v>822</v>
      </c>
      <c r="F180" s="3" t="s">
        <v>241</v>
      </c>
      <c r="G180" s="3" t="s">
        <v>823</v>
      </c>
      <c r="H180" s="3" t="s">
        <v>34</v>
      </c>
      <c r="I180" s="3">
        <v>1962</v>
      </c>
      <c r="J180" s="3">
        <v>63</v>
      </c>
      <c r="K180" s="3">
        <v>4</v>
      </c>
      <c r="L180" s="3" t="s">
        <v>81</v>
      </c>
      <c r="M180" s="154" t="s">
        <v>335</v>
      </c>
      <c r="N180" s="73" t="s">
        <v>48</v>
      </c>
      <c r="O180" s="68" t="s">
        <v>55</v>
      </c>
      <c r="P180" s="3"/>
      <c r="Q180" s="3"/>
      <c r="R180" s="3"/>
      <c r="S180" s="3"/>
      <c r="T180" s="3"/>
    </row>
    <row r="181" spans="1:20">
      <c r="A181" s="19">
        <f t="shared" si="4"/>
        <v>180</v>
      </c>
      <c r="B181" s="19" t="s">
        <v>824</v>
      </c>
      <c r="C181" s="5" t="s">
        <v>820</v>
      </c>
      <c r="D181" s="20" t="s">
        <v>821</v>
      </c>
      <c r="E181" s="5" t="s">
        <v>825</v>
      </c>
      <c r="F181" s="5" t="s">
        <v>241</v>
      </c>
      <c r="G181" s="5" t="s">
        <v>826</v>
      </c>
      <c r="H181" s="5" t="s">
        <v>34</v>
      </c>
      <c r="I181" s="5">
        <v>1968</v>
      </c>
      <c r="J181" s="5">
        <v>57</v>
      </c>
      <c r="K181" s="5">
        <v>4.5</v>
      </c>
      <c r="L181" s="5" t="s">
        <v>68</v>
      </c>
      <c r="M181" s="74" t="s">
        <v>559</v>
      </c>
      <c r="N181" s="73" t="s">
        <v>48</v>
      </c>
      <c r="O181" s="5" t="s">
        <v>168</v>
      </c>
      <c r="P181" s="5"/>
      <c r="Q181" s="5"/>
      <c r="R181" s="5"/>
      <c r="S181" s="5"/>
      <c r="T181" s="5"/>
    </row>
    <row r="182" spans="1:20">
      <c r="A182" s="19">
        <f t="shared" si="4"/>
        <v>181</v>
      </c>
      <c r="B182" s="19" t="s">
        <v>827</v>
      </c>
      <c r="C182" s="4" t="s">
        <v>821</v>
      </c>
      <c r="D182" s="4" t="s">
        <v>828</v>
      </c>
      <c r="E182" s="3" t="s">
        <v>829</v>
      </c>
      <c r="F182" s="3" t="s">
        <v>241</v>
      </c>
      <c r="G182" s="3" t="s">
        <v>830</v>
      </c>
      <c r="H182" s="3" t="s">
        <v>34</v>
      </c>
      <c r="I182" s="3">
        <v>1972</v>
      </c>
      <c r="J182" s="3">
        <v>53</v>
      </c>
      <c r="K182" s="3">
        <v>5</v>
      </c>
      <c r="L182" s="3" t="s">
        <v>81</v>
      </c>
      <c r="M182" s="73" t="s">
        <v>102</v>
      </c>
      <c r="N182" s="73" t="s">
        <v>48</v>
      </c>
      <c r="O182" s="3" t="s">
        <v>62</v>
      </c>
      <c r="P182" s="3"/>
      <c r="Q182" s="3"/>
      <c r="R182" s="3"/>
      <c r="S182" s="3"/>
      <c r="T182" s="3" t="s">
        <v>792</v>
      </c>
    </row>
    <row r="183" spans="1:20">
      <c r="A183" s="19">
        <f t="shared" si="4"/>
        <v>182</v>
      </c>
      <c r="B183" s="19" t="s">
        <v>831</v>
      </c>
      <c r="C183" s="4" t="s">
        <v>821</v>
      </c>
      <c r="D183" s="4" t="s">
        <v>828</v>
      </c>
      <c r="E183" s="3" t="s">
        <v>832</v>
      </c>
      <c r="F183" s="3" t="s">
        <v>241</v>
      </c>
      <c r="G183" s="3" t="s">
        <v>833</v>
      </c>
      <c r="H183" s="3" t="s">
        <v>34</v>
      </c>
      <c r="I183" s="3">
        <v>1970</v>
      </c>
      <c r="J183" s="3">
        <v>55</v>
      </c>
      <c r="K183" s="5">
        <v>6.4</v>
      </c>
      <c r="L183" s="5" t="s">
        <v>81</v>
      </c>
      <c r="M183" s="74"/>
      <c r="N183" s="74"/>
      <c r="O183" s="5"/>
      <c r="P183" s="5"/>
      <c r="Q183" s="3"/>
      <c r="R183" s="3"/>
      <c r="S183" s="3"/>
      <c r="T183" s="3" t="s">
        <v>834</v>
      </c>
    </row>
    <row r="184" spans="1:20">
      <c r="A184" s="19">
        <f t="shared" si="4"/>
        <v>183</v>
      </c>
      <c r="B184" s="19" t="s">
        <v>835</v>
      </c>
      <c r="C184" s="4" t="s">
        <v>836</v>
      </c>
      <c r="D184" s="4" t="s">
        <v>837</v>
      </c>
      <c r="E184" s="3" t="s">
        <v>838</v>
      </c>
      <c r="F184" s="3" t="s">
        <v>241</v>
      </c>
      <c r="G184" s="3" t="s">
        <v>839</v>
      </c>
      <c r="H184" s="3" t="s">
        <v>45</v>
      </c>
      <c r="I184" s="3">
        <v>1958</v>
      </c>
      <c r="J184" s="19">
        <v>67</v>
      </c>
      <c r="K184" s="3">
        <v>5.8</v>
      </c>
      <c r="L184" s="3" t="s">
        <v>81</v>
      </c>
      <c r="M184" s="73" t="s">
        <v>324</v>
      </c>
      <c r="N184" s="157" t="s">
        <v>48</v>
      </c>
      <c r="O184" s="3" t="s">
        <v>127</v>
      </c>
      <c r="P184" s="3"/>
      <c r="Q184" s="8"/>
      <c r="R184" s="3"/>
      <c r="S184" s="3"/>
      <c r="T184" s="3"/>
    </row>
    <row r="185" spans="1:20">
      <c r="A185" s="19">
        <f t="shared" si="4"/>
        <v>184</v>
      </c>
      <c r="B185" s="19" t="s">
        <v>840</v>
      </c>
      <c r="C185" s="4" t="s">
        <v>837</v>
      </c>
      <c r="D185" s="4" t="s">
        <v>841</v>
      </c>
      <c r="E185" s="3" t="s">
        <v>842</v>
      </c>
      <c r="F185" s="3" t="s">
        <v>241</v>
      </c>
      <c r="G185" s="3" t="s">
        <v>843</v>
      </c>
      <c r="H185" s="3" t="s">
        <v>45</v>
      </c>
      <c r="I185" s="3">
        <v>1961</v>
      </c>
      <c r="J185" s="19">
        <v>64</v>
      </c>
      <c r="K185" s="3">
        <v>4</v>
      </c>
      <c r="L185" s="3" t="s">
        <v>68</v>
      </c>
      <c r="M185" s="73" t="s">
        <v>290</v>
      </c>
      <c r="N185" s="157" t="s">
        <v>48</v>
      </c>
      <c r="O185" s="3" t="s">
        <v>399</v>
      </c>
      <c r="P185" s="3"/>
      <c r="Q185" s="8"/>
      <c r="R185" s="3"/>
      <c r="S185" s="3"/>
      <c r="T185" s="3"/>
    </row>
    <row r="186" spans="1:20">
      <c r="A186" s="19">
        <f t="shared" si="4"/>
        <v>185</v>
      </c>
      <c r="B186" s="19" t="s">
        <v>844</v>
      </c>
      <c r="C186" s="4" t="s">
        <v>845</v>
      </c>
      <c r="D186" s="4" t="s">
        <v>846</v>
      </c>
      <c r="E186" s="3" t="s">
        <v>847</v>
      </c>
      <c r="F186" s="3" t="s">
        <v>241</v>
      </c>
      <c r="G186" s="3" t="s">
        <v>848</v>
      </c>
      <c r="H186" s="3" t="s">
        <v>45</v>
      </c>
      <c r="I186" s="3">
        <v>1951</v>
      </c>
      <c r="J186" s="19">
        <v>74</v>
      </c>
      <c r="K186" s="3">
        <v>4</v>
      </c>
      <c r="L186" s="3" t="s">
        <v>68</v>
      </c>
      <c r="M186" s="73" t="s">
        <v>81</v>
      </c>
      <c r="N186" s="157" t="s">
        <v>48</v>
      </c>
      <c r="O186" s="68" t="s">
        <v>55</v>
      </c>
      <c r="P186" s="3"/>
      <c r="Q186" s="8"/>
      <c r="R186" s="3"/>
      <c r="S186" s="3"/>
      <c r="T186" s="3" t="s">
        <v>792</v>
      </c>
    </row>
    <row r="187" spans="1:20">
      <c r="A187" s="19">
        <f t="shared" si="4"/>
        <v>186</v>
      </c>
      <c r="B187" s="19" t="s">
        <v>849</v>
      </c>
      <c r="C187" s="4" t="s">
        <v>850</v>
      </c>
      <c r="D187" s="7" t="s">
        <v>851</v>
      </c>
      <c r="E187" s="3" t="s">
        <v>852</v>
      </c>
      <c r="F187" s="3" t="s">
        <v>241</v>
      </c>
      <c r="G187" s="3" t="s">
        <v>853</v>
      </c>
      <c r="H187" s="3" t="s">
        <v>34</v>
      </c>
      <c r="I187" s="3">
        <v>1960</v>
      </c>
      <c r="J187" s="19">
        <v>65</v>
      </c>
      <c r="K187" s="3">
        <v>4.5</v>
      </c>
      <c r="L187" s="3" t="s">
        <v>68</v>
      </c>
      <c r="M187" s="73"/>
      <c r="N187" s="73"/>
      <c r="O187" s="3"/>
      <c r="P187" s="3"/>
      <c r="Q187" s="8"/>
      <c r="R187" s="3"/>
      <c r="S187" s="3"/>
      <c r="T187" s="3"/>
    </row>
    <row r="188" spans="1:20">
      <c r="A188" s="19">
        <f t="shared" si="4"/>
        <v>187</v>
      </c>
      <c r="B188" s="19" t="s">
        <v>854</v>
      </c>
      <c r="C188" s="20" t="s">
        <v>855</v>
      </c>
      <c r="D188" s="20" t="s">
        <v>856</v>
      </c>
      <c r="E188" s="5" t="s">
        <v>857</v>
      </c>
      <c r="F188" s="5" t="s">
        <v>241</v>
      </c>
      <c r="G188" s="5" t="s">
        <v>858</v>
      </c>
      <c r="H188" s="5" t="s">
        <v>45</v>
      </c>
      <c r="I188" s="5">
        <v>1961</v>
      </c>
      <c r="J188" s="18">
        <v>64</v>
      </c>
      <c r="K188" s="3">
        <v>4.4000000000000004</v>
      </c>
      <c r="L188" s="3" t="s">
        <v>290</v>
      </c>
      <c r="M188" s="73"/>
      <c r="N188" s="73"/>
      <c r="O188" s="3"/>
      <c r="P188" s="3"/>
      <c r="Q188" s="9"/>
      <c r="R188" s="5"/>
      <c r="S188" s="5"/>
      <c r="T188" s="5"/>
    </row>
    <row r="189" spans="1:20">
      <c r="A189" s="19">
        <f t="shared" si="4"/>
        <v>188</v>
      </c>
      <c r="B189" s="19" t="s">
        <v>859</v>
      </c>
      <c r="C189" s="4" t="s">
        <v>860</v>
      </c>
      <c r="D189" s="4" t="s">
        <v>861</v>
      </c>
      <c r="E189" s="3" t="s">
        <v>862</v>
      </c>
      <c r="F189" s="3" t="s">
        <v>241</v>
      </c>
      <c r="G189" s="3" t="s">
        <v>863</v>
      </c>
      <c r="H189" s="3" t="s">
        <v>45</v>
      </c>
      <c r="I189" s="3">
        <v>1981</v>
      </c>
      <c r="J189" s="19">
        <v>44</v>
      </c>
      <c r="K189" s="3">
        <v>4.3</v>
      </c>
      <c r="L189" s="3" t="s">
        <v>68</v>
      </c>
      <c r="M189" s="73"/>
      <c r="N189" s="73"/>
      <c r="O189" s="3"/>
      <c r="P189" s="3"/>
      <c r="Q189" s="8"/>
      <c r="R189" s="3"/>
      <c r="S189" s="19"/>
      <c r="T189" s="3"/>
    </row>
    <row r="190" spans="1:20">
      <c r="A190" s="19">
        <f t="shared" si="4"/>
        <v>189</v>
      </c>
      <c r="B190" s="19" t="s">
        <v>864</v>
      </c>
      <c r="C190" s="4" t="s">
        <v>860</v>
      </c>
      <c r="D190" s="4" t="s">
        <v>861</v>
      </c>
      <c r="E190" s="5" t="s">
        <v>865</v>
      </c>
      <c r="F190" s="5" t="s">
        <v>241</v>
      </c>
      <c r="G190" s="5" t="s">
        <v>866</v>
      </c>
      <c r="H190" s="5" t="s">
        <v>34</v>
      </c>
      <c r="I190" s="5">
        <v>1957</v>
      </c>
      <c r="J190" s="18">
        <v>68</v>
      </c>
      <c r="K190" s="3">
        <v>4.2</v>
      </c>
      <c r="L190" s="3" t="s">
        <v>68</v>
      </c>
      <c r="M190" s="73"/>
      <c r="N190" s="73"/>
      <c r="O190" s="3"/>
      <c r="P190" s="3"/>
      <c r="Q190" s="9"/>
      <c r="R190" s="5"/>
      <c r="S190" s="18"/>
      <c r="T190" s="5" t="s">
        <v>867</v>
      </c>
    </row>
    <row r="191" spans="1:20">
      <c r="A191" s="19">
        <f t="shared" si="4"/>
        <v>190</v>
      </c>
      <c r="B191" s="19" t="s">
        <v>868</v>
      </c>
      <c r="C191" s="5" t="s">
        <v>869</v>
      </c>
      <c r="D191" s="58" t="s">
        <v>870</v>
      </c>
      <c r="E191" s="18" t="s">
        <v>871</v>
      </c>
      <c r="F191" s="5" t="s">
        <v>674</v>
      </c>
      <c r="G191" s="9" t="s">
        <v>872</v>
      </c>
      <c r="H191" s="5" t="s">
        <v>34</v>
      </c>
      <c r="I191" s="5">
        <v>1970</v>
      </c>
      <c r="J191" s="18">
        <v>55</v>
      </c>
      <c r="K191" s="5">
        <v>4.8</v>
      </c>
      <c r="L191" s="5" t="s">
        <v>757</v>
      </c>
      <c r="M191" s="74"/>
      <c r="N191" s="5"/>
      <c r="O191" s="5"/>
      <c r="P191" s="5"/>
      <c r="Q191" s="9"/>
      <c r="R191" s="5"/>
      <c r="S191" s="18"/>
      <c r="T191" s="5" t="s">
        <v>549</v>
      </c>
    </row>
    <row r="192" spans="1:20">
      <c r="A192" s="19">
        <f>A191+1</f>
        <v>191</v>
      </c>
      <c r="B192" s="19" t="s">
        <v>873</v>
      </c>
      <c r="C192" s="3" t="s">
        <v>874</v>
      </c>
      <c r="D192" s="11" t="s">
        <v>870</v>
      </c>
      <c r="E192" s="3" t="s">
        <v>875</v>
      </c>
      <c r="F192" s="3" t="s">
        <v>241</v>
      </c>
      <c r="G192" s="3" t="s">
        <v>876</v>
      </c>
      <c r="H192" s="3" t="s">
        <v>34</v>
      </c>
      <c r="I192" s="3">
        <v>1977</v>
      </c>
      <c r="J192" s="3">
        <v>55</v>
      </c>
      <c r="K192" s="3">
        <v>4</v>
      </c>
      <c r="L192" s="3" t="s">
        <v>68</v>
      </c>
      <c r="M192" s="73"/>
      <c r="N192" s="3"/>
      <c r="O192" s="3"/>
      <c r="P192" s="3"/>
      <c r="Q192" s="3"/>
      <c r="R192" s="3"/>
      <c r="S192" s="3"/>
      <c r="T192" s="3"/>
    </row>
  </sheetData>
  <sheetProtection sheet="1" objects="1" scenarios="1"/>
  <autoFilter ref="A1:T188" xr:uid="{00000000-0001-0000-0000-000000000000}"/>
  <pageMargins left="0.7" right="0.7" top="0.75" bottom="0.75" header="0.3" footer="0.3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BCE7-CC55-4B23-B39A-57837C9FFB1D}">
  <dimension ref="A1:T140"/>
  <sheetViews>
    <sheetView workbookViewId="0">
      <pane xSplit="7" ySplit="1" topLeftCell="H123" activePane="bottomRight" state="frozen"/>
      <selection pane="bottomRight" activeCell="B134" sqref="B134:B136"/>
      <selection pane="bottomLeft"/>
      <selection pane="topRight"/>
    </sheetView>
  </sheetViews>
  <sheetFormatPr defaultColWidth="9" defaultRowHeight="15"/>
  <cols>
    <col min="1" max="1" width="5.25" style="6" customWidth="1"/>
    <col min="2" max="2" width="9.5" style="6" bestFit="1" customWidth="1"/>
    <col min="3" max="4" width="11.375" style="6" customWidth="1"/>
    <col min="5" max="5" width="6.25" style="6" customWidth="1"/>
    <col min="6" max="6" width="11.375" style="6" customWidth="1"/>
    <col min="7" max="7" width="18.25" style="6" customWidth="1"/>
    <col min="8" max="10" width="9" style="6"/>
    <col min="11" max="11" width="11.5" style="6" bestFit="1" customWidth="1"/>
    <col min="12" max="12" width="9.375" style="6"/>
    <col min="13" max="13" width="21.625" style="6" customWidth="1"/>
    <col min="14" max="14" width="16.875" style="6" customWidth="1"/>
    <col min="15" max="19" width="9" style="6"/>
    <col min="20" max="20" width="39.875" style="6" customWidth="1"/>
    <col min="21" max="16384" width="9" style="6"/>
  </cols>
  <sheetData>
    <row r="1" spans="1:20" ht="27.7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877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</row>
    <row r="2" spans="1:20">
      <c r="A2" s="3">
        <v>1</v>
      </c>
      <c r="B2" s="3" t="s">
        <v>878</v>
      </c>
      <c r="C2" s="4" t="s">
        <v>879</v>
      </c>
      <c r="D2" s="7" t="s">
        <v>232</v>
      </c>
      <c r="E2" s="4" t="s">
        <v>880</v>
      </c>
      <c r="F2" s="4" t="s">
        <v>32</v>
      </c>
      <c r="G2" s="3" t="s">
        <v>881</v>
      </c>
      <c r="H2" s="3" t="s">
        <v>34</v>
      </c>
      <c r="I2" s="3">
        <v>1971</v>
      </c>
      <c r="J2" s="3">
        <f>2025-I2</f>
        <v>54</v>
      </c>
      <c r="K2" s="3">
        <v>4.5</v>
      </c>
      <c r="L2" s="3"/>
      <c r="M2" s="3"/>
      <c r="N2" s="3" t="s">
        <v>882</v>
      </c>
      <c r="O2" s="3"/>
      <c r="P2" s="3"/>
      <c r="Q2" s="3"/>
      <c r="R2" s="3"/>
      <c r="S2" s="3"/>
      <c r="T2" s="3"/>
    </row>
    <row r="3" spans="1:20">
      <c r="A3" s="3">
        <v>2</v>
      </c>
      <c r="B3" s="145" t="s">
        <v>883</v>
      </c>
      <c r="C3" s="146" t="s">
        <v>879</v>
      </c>
      <c r="D3" s="147" t="s">
        <v>232</v>
      </c>
      <c r="E3" s="146" t="s">
        <v>884</v>
      </c>
      <c r="F3" s="146" t="s">
        <v>32</v>
      </c>
      <c r="G3" s="145" t="s">
        <v>885</v>
      </c>
      <c r="H3" s="145" t="s">
        <v>45</v>
      </c>
      <c r="I3" s="145">
        <v>1962</v>
      </c>
      <c r="J3" s="145">
        <f t="shared" ref="J3:J4" si="0">2025-I3</f>
        <v>63</v>
      </c>
      <c r="K3" s="145">
        <v>5.4</v>
      </c>
      <c r="L3" s="145"/>
      <c r="M3" s="145"/>
      <c r="N3" s="145" t="s">
        <v>882</v>
      </c>
      <c r="O3" s="145"/>
      <c r="P3" s="145"/>
      <c r="Q3" s="145"/>
      <c r="R3" s="145"/>
      <c r="S3" s="145"/>
      <c r="T3" s="145" t="s">
        <v>886</v>
      </c>
    </row>
    <row r="4" spans="1:20">
      <c r="A4" s="3">
        <v>3</v>
      </c>
      <c r="B4" s="3" t="s">
        <v>887</v>
      </c>
      <c r="C4" s="4" t="s">
        <v>879</v>
      </c>
      <c r="D4" s="7" t="s">
        <v>232</v>
      </c>
      <c r="E4" s="4" t="s">
        <v>888</v>
      </c>
      <c r="F4" s="4" t="s">
        <v>32</v>
      </c>
      <c r="G4" s="3" t="s">
        <v>889</v>
      </c>
      <c r="H4" s="3" t="s">
        <v>34</v>
      </c>
      <c r="I4" s="3">
        <v>1988</v>
      </c>
      <c r="J4" s="3">
        <f t="shared" si="0"/>
        <v>37</v>
      </c>
      <c r="K4" s="3">
        <v>4.2</v>
      </c>
      <c r="L4" s="3"/>
      <c r="M4" s="3"/>
      <c r="N4" s="3" t="s">
        <v>882</v>
      </c>
      <c r="O4" s="3"/>
      <c r="P4" s="3"/>
      <c r="Q4" s="3"/>
      <c r="R4" s="3"/>
      <c r="S4" s="3"/>
      <c r="T4" s="3"/>
    </row>
    <row r="5" spans="1:20">
      <c r="A5" s="3">
        <v>4</v>
      </c>
      <c r="B5" s="3" t="s">
        <v>890</v>
      </c>
      <c r="C5" s="4" t="s">
        <v>891</v>
      </c>
      <c r="D5" s="7" t="s">
        <v>892</v>
      </c>
      <c r="E5" s="4" t="s">
        <v>893</v>
      </c>
      <c r="F5" s="4" t="s">
        <v>32</v>
      </c>
      <c r="G5" s="3" t="s">
        <v>894</v>
      </c>
      <c r="H5" s="3" t="s">
        <v>34</v>
      </c>
      <c r="I5" s="3">
        <f>2025-J5</f>
        <v>1962</v>
      </c>
      <c r="J5" s="3">
        <v>63</v>
      </c>
      <c r="K5" s="3">
        <v>4.4000000000000004</v>
      </c>
      <c r="L5" s="3"/>
      <c r="M5" s="3"/>
      <c r="N5" s="3" t="s">
        <v>882</v>
      </c>
      <c r="O5" s="3"/>
      <c r="P5" s="3"/>
      <c r="Q5" s="3"/>
      <c r="R5" s="3"/>
      <c r="S5" s="3"/>
      <c r="T5" s="10" t="s">
        <v>895</v>
      </c>
    </row>
    <row r="6" spans="1:20">
      <c r="A6" s="3">
        <v>5</v>
      </c>
      <c r="B6" s="3" t="s">
        <v>896</v>
      </c>
      <c r="C6" s="4" t="s">
        <v>891</v>
      </c>
      <c r="D6" s="7" t="s">
        <v>238</v>
      </c>
      <c r="E6" s="4" t="s">
        <v>897</v>
      </c>
      <c r="F6" s="4" t="s">
        <v>32</v>
      </c>
      <c r="G6" s="3" t="s">
        <v>898</v>
      </c>
      <c r="H6" s="3" t="s">
        <v>45</v>
      </c>
      <c r="I6" s="3">
        <v>1964</v>
      </c>
      <c r="J6" s="3">
        <f>2025-I6</f>
        <v>61</v>
      </c>
      <c r="K6" s="3">
        <v>4.5</v>
      </c>
      <c r="L6" s="3"/>
      <c r="M6" s="3"/>
      <c r="N6" s="3" t="s">
        <v>882</v>
      </c>
      <c r="O6" s="3"/>
      <c r="P6" s="3"/>
      <c r="Q6" s="3"/>
      <c r="R6" s="3"/>
      <c r="S6" s="3"/>
      <c r="T6" s="3"/>
    </row>
    <row r="7" spans="1:20">
      <c r="A7" s="3">
        <v>6</v>
      </c>
      <c r="B7" s="3" t="s">
        <v>899</v>
      </c>
      <c r="C7" s="4" t="s">
        <v>900</v>
      </c>
      <c r="D7" s="7" t="s">
        <v>238</v>
      </c>
      <c r="E7" s="4" t="s">
        <v>901</v>
      </c>
      <c r="F7" s="4" t="s">
        <v>32</v>
      </c>
      <c r="G7" s="3" t="s">
        <v>902</v>
      </c>
      <c r="H7" s="3" t="s">
        <v>34</v>
      </c>
      <c r="I7" s="3">
        <v>1959</v>
      </c>
      <c r="J7" s="3">
        <f t="shared" ref="J7:J9" si="1">2025-I7</f>
        <v>66</v>
      </c>
      <c r="K7" s="3">
        <v>3</v>
      </c>
      <c r="L7" s="3"/>
      <c r="M7" s="3"/>
      <c r="N7" s="3" t="s">
        <v>882</v>
      </c>
      <c r="O7" s="3"/>
      <c r="P7" s="3"/>
      <c r="Q7" s="3"/>
      <c r="R7" s="3"/>
      <c r="S7" s="3"/>
      <c r="T7" s="3" t="s">
        <v>903</v>
      </c>
    </row>
    <row r="8" spans="1:20">
      <c r="A8" s="3">
        <v>7</v>
      </c>
      <c r="B8" s="3" t="s">
        <v>904</v>
      </c>
      <c r="C8" s="4" t="s">
        <v>892</v>
      </c>
      <c r="D8" s="7" t="s">
        <v>238</v>
      </c>
      <c r="E8" s="4" t="s">
        <v>905</v>
      </c>
      <c r="F8" s="4" t="s">
        <v>32</v>
      </c>
      <c r="G8" s="3" t="s">
        <v>906</v>
      </c>
      <c r="H8" s="3" t="s">
        <v>45</v>
      </c>
      <c r="I8" s="3">
        <v>1977</v>
      </c>
      <c r="J8" s="3">
        <f t="shared" si="1"/>
        <v>48</v>
      </c>
      <c r="K8" s="3">
        <v>5</v>
      </c>
      <c r="L8" s="3"/>
      <c r="M8" s="3"/>
      <c r="N8" s="3" t="s">
        <v>882</v>
      </c>
      <c r="O8" s="3"/>
      <c r="P8" s="3"/>
      <c r="Q8" s="3"/>
      <c r="R8" s="3"/>
      <c r="S8" s="3"/>
      <c r="T8" s="3"/>
    </row>
    <row r="9" spans="1:20">
      <c r="A9" s="3">
        <v>8</v>
      </c>
      <c r="B9" s="3" t="s">
        <v>907</v>
      </c>
      <c r="C9" s="4" t="s">
        <v>892</v>
      </c>
      <c r="D9" s="7" t="s">
        <v>238</v>
      </c>
      <c r="E9" s="4" t="s">
        <v>908</v>
      </c>
      <c r="F9" s="4" t="s">
        <v>32</v>
      </c>
      <c r="G9" s="3" t="s">
        <v>909</v>
      </c>
      <c r="H9" s="3" t="s">
        <v>34</v>
      </c>
      <c r="I9" s="3">
        <v>1985</v>
      </c>
      <c r="J9" s="3">
        <f t="shared" si="1"/>
        <v>40</v>
      </c>
      <c r="K9" s="3">
        <v>4</v>
      </c>
      <c r="L9" s="3"/>
      <c r="M9" s="3"/>
      <c r="N9" s="3" t="s">
        <v>882</v>
      </c>
      <c r="O9" s="3"/>
      <c r="P9" s="3"/>
      <c r="Q9" s="3"/>
      <c r="R9" s="3"/>
      <c r="S9" s="3"/>
      <c r="T9" s="3" t="s">
        <v>910</v>
      </c>
    </row>
    <row r="10" spans="1:20">
      <c r="A10" s="3">
        <v>9</v>
      </c>
      <c r="B10" s="3" t="s">
        <v>911</v>
      </c>
      <c r="C10" s="7" t="s">
        <v>238</v>
      </c>
      <c r="D10" s="7" t="s">
        <v>239</v>
      </c>
      <c r="E10" s="4" t="s">
        <v>912</v>
      </c>
      <c r="F10" s="4" t="s">
        <v>32</v>
      </c>
      <c r="G10" s="3" t="s">
        <v>913</v>
      </c>
      <c r="H10" s="3" t="s">
        <v>34</v>
      </c>
      <c r="I10" s="3">
        <f>2025-J10</f>
        <v>1981</v>
      </c>
      <c r="J10" s="3">
        <v>44</v>
      </c>
      <c r="K10" s="3">
        <v>3.8</v>
      </c>
      <c r="L10" s="3"/>
      <c r="M10" s="3"/>
      <c r="N10" s="3" t="s">
        <v>882</v>
      </c>
      <c r="O10" s="3"/>
      <c r="P10" s="3"/>
      <c r="Q10" s="3"/>
      <c r="R10" s="3"/>
      <c r="S10" s="3"/>
      <c r="T10" s="3"/>
    </row>
    <row r="11" spans="1:20">
      <c r="A11" s="3">
        <v>10</v>
      </c>
      <c r="B11" s="3" t="s">
        <v>914</v>
      </c>
      <c r="C11" s="4" t="s">
        <v>892</v>
      </c>
      <c r="D11" s="7" t="s">
        <v>239</v>
      </c>
      <c r="E11" s="4" t="s">
        <v>915</v>
      </c>
      <c r="F11" s="4" t="s">
        <v>32</v>
      </c>
      <c r="G11" s="3" t="s">
        <v>916</v>
      </c>
      <c r="H11" s="3" t="s">
        <v>45</v>
      </c>
      <c r="I11" s="3">
        <f t="shared" ref="I11:I19" si="2">2025-J11</f>
        <v>1984</v>
      </c>
      <c r="J11" s="3">
        <v>41</v>
      </c>
      <c r="K11" s="3">
        <v>4</v>
      </c>
      <c r="L11" s="3"/>
      <c r="M11" s="3"/>
      <c r="N11" s="3" t="s">
        <v>882</v>
      </c>
      <c r="O11" s="3"/>
      <c r="P11" s="3"/>
      <c r="Q11" s="3"/>
      <c r="R11" s="3"/>
      <c r="S11" s="3"/>
      <c r="T11" s="3" t="s">
        <v>910</v>
      </c>
    </row>
    <row r="12" spans="1:20">
      <c r="A12" s="3">
        <v>11</v>
      </c>
      <c r="B12" s="3" t="s">
        <v>917</v>
      </c>
      <c r="C12" s="4" t="s">
        <v>892</v>
      </c>
      <c r="D12" s="7" t="s">
        <v>239</v>
      </c>
      <c r="E12" s="4" t="s">
        <v>918</v>
      </c>
      <c r="F12" s="4" t="s">
        <v>32</v>
      </c>
      <c r="G12" s="3" t="s">
        <v>919</v>
      </c>
      <c r="H12" s="3" t="s">
        <v>34</v>
      </c>
      <c r="I12" s="3">
        <f t="shared" si="2"/>
        <v>1972</v>
      </c>
      <c r="J12" s="3">
        <v>53</v>
      </c>
      <c r="K12" s="3">
        <v>3.8</v>
      </c>
      <c r="L12" s="3"/>
      <c r="M12" s="3"/>
      <c r="N12" s="3" t="s">
        <v>882</v>
      </c>
      <c r="O12" s="3"/>
      <c r="P12" s="3"/>
      <c r="Q12" s="3"/>
      <c r="R12" s="3"/>
      <c r="S12" s="3"/>
      <c r="T12" s="3"/>
    </row>
    <row r="13" spans="1:20">
      <c r="A13" s="3">
        <v>12</v>
      </c>
      <c r="B13" s="3" t="s">
        <v>920</v>
      </c>
      <c r="C13" s="7" t="s">
        <v>238</v>
      </c>
      <c r="D13" s="7" t="s">
        <v>239</v>
      </c>
      <c r="E13" s="4" t="s">
        <v>921</v>
      </c>
      <c r="F13" s="4" t="s">
        <v>32</v>
      </c>
      <c r="G13" s="3" t="s">
        <v>922</v>
      </c>
      <c r="H13" s="3" t="s">
        <v>34</v>
      </c>
      <c r="I13" s="3">
        <f t="shared" si="2"/>
        <v>1965</v>
      </c>
      <c r="J13" s="3">
        <v>60</v>
      </c>
      <c r="K13" s="3">
        <v>4.5</v>
      </c>
      <c r="L13" s="3"/>
      <c r="M13" s="3"/>
      <c r="N13" s="3" t="s">
        <v>882</v>
      </c>
      <c r="O13" s="3"/>
      <c r="P13" s="3"/>
      <c r="Q13" s="3"/>
      <c r="R13" s="3"/>
      <c r="S13" s="3"/>
      <c r="T13" s="3"/>
    </row>
    <row r="14" spans="1:20">
      <c r="A14" s="3">
        <v>13</v>
      </c>
      <c r="B14" s="3" t="s">
        <v>923</v>
      </c>
      <c r="C14" s="7" t="s">
        <v>238</v>
      </c>
      <c r="D14" s="7" t="s">
        <v>239</v>
      </c>
      <c r="E14" s="4" t="s">
        <v>924</v>
      </c>
      <c r="F14" s="4" t="s">
        <v>32</v>
      </c>
      <c r="G14" s="3" t="s">
        <v>925</v>
      </c>
      <c r="H14" s="3" t="s">
        <v>34</v>
      </c>
      <c r="I14" s="3">
        <f t="shared" si="2"/>
        <v>1958</v>
      </c>
      <c r="J14" s="3">
        <v>67</v>
      </c>
      <c r="K14" s="3">
        <v>5</v>
      </c>
      <c r="L14" s="3"/>
      <c r="M14" s="3"/>
      <c r="N14" s="3" t="s">
        <v>882</v>
      </c>
      <c r="O14" s="3"/>
      <c r="P14" s="3"/>
      <c r="Q14" s="3"/>
      <c r="R14" s="3"/>
      <c r="S14" s="3"/>
      <c r="T14" s="3"/>
    </row>
    <row r="15" spans="1:20">
      <c r="A15" s="3">
        <v>14</v>
      </c>
      <c r="B15" s="3" t="s">
        <v>926</v>
      </c>
      <c r="C15" s="7" t="s">
        <v>239</v>
      </c>
      <c r="D15" s="7" t="s">
        <v>256</v>
      </c>
      <c r="E15" s="4" t="s">
        <v>927</v>
      </c>
      <c r="F15" s="4" t="s">
        <v>32</v>
      </c>
      <c r="G15" s="3" t="s">
        <v>928</v>
      </c>
      <c r="H15" s="3" t="s">
        <v>45</v>
      </c>
      <c r="I15" s="3">
        <f t="shared" si="2"/>
        <v>1989</v>
      </c>
      <c r="J15" s="3">
        <v>36</v>
      </c>
      <c r="K15" s="3">
        <v>5</v>
      </c>
      <c r="L15" s="3"/>
      <c r="M15" s="3"/>
      <c r="N15" s="3" t="s">
        <v>882</v>
      </c>
      <c r="O15" s="3"/>
      <c r="P15" s="3"/>
      <c r="Q15" s="3"/>
      <c r="R15" s="3"/>
      <c r="S15" s="3"/>
      <c r="T15" s="3" t="s">
        <v>910</v>
      </c>
    </row>
    <row r="16" spans="1:20">
      <c r="A16" s="3">
        <v>15</v>
      </c>
      <c r="B16" s="3" t="s">
        <v>929</v>
      </c>
      <c r="C16" s="7" t="s">
        <v>239</v>
      </c>
      <c r="D16" s="7" t="s">
        <v>256</v>
      </c>
      <c r="E16" s="4" t="s">
        <v>930</v>
      </c>
      <c r="F16" s="4" t="s">
        <v>32</v>
      </c>
      <c r="G16" s="3" t="s">
        <v>931</v>
      </c>
      <c r="H16" s="3" t="s">
        <v>34</v>
      </c>
      <c r="I16" s="3">
        <f t="shared" si="2"/>
        <v>1966</v>
      </c>
      <c r="J16" s="3">
        <v>59</v>
      </c>
      <c r="K16" s="3">
        <v>4</v>
      </c>
      <c r="L16" s="3"/>
      <c r="M16" s="3"/>
      <c r="N16" s="3" t="s">
        <v>882</v>
      </c>
      <c r="O16" s="3"/>
      <c r="P16" s="3"/>
      <c r="Q16" s="3"/>
      <c r="R16" s="3"/>
      <c r="S16" s="3"/>
      <c r="T16" s="3"/>
    </row>
    <row r="17" spans="1:20">
      <c r="A17" s="3">
        <v>16</v>
      </c>
      <c r="B17" s="3" t="s">
        <v>932</v>
      </c>
      <c r="C17" s="7" t="s">
        <v>239</v>
      </c>
      <c r="D17" s="7" t="s">
        <v>256</v>
      </c>
      <c r="E17" s="4" t="s">
        <v>933</v>
      </c>
      <c r="F17" s="4" t="s">
        <v>32</v>
      </c>
      <c r="G17" s="3" t="s">
        <v>934</v>
      </c>
      <c r="H17" s="3" t="s">
        <v>45</v>
      </c>
      <c r="I17" s="3">
        <f t="shared" si="2"/>
        <v>1983</v>
      </c>
      <c r="J17" s="3">
        <v>42</v>
      </c>
      <c r="K17" s="3">
        <v>4.8</v>
      </c>
      <c r="L17" s="3"/>
      <c r="M17" s="3"/>
      <c r="N17" s="3" t="s">
        <v>882</v>
      </c>
      <c r="O17" s="3"/>
      <c r="P17" s="3"/>
      <c r="Q17" s="3"/>
      <c r="R17" s="3"/>
      <c r="S17" s="3"/>
      <c r="T17" s="3"/>
    </row>
    <row r="18" spans="1:20">
      <c r="A18" s="3">
        <v>17</v>
      </c>
      <c r="B18" s="3" t="s">
        <v>935</v>
      </c>
      <c r="C18" s="7" t="s">
        <v>256</v>
      </c>
      <c r="D18" s="7" t="s">
        <v>936</v>
      </c>
      <c r="E18" s="4" t="s">
        <v>937</v>
      </c>
      <c r="F18" s="4" t="s">
        <v>32</v>
      </c>
      <c r="G18" s="3" t="s">
        <v>938</v>
      </c>
      <c r="H18" s="3" t="s">
        <v>45</v>
      </c>
      <c r="I18" s="3">
        <f t="shared" si="2"/>
        <v>1970</v>
      </c>
      <c r="J18" s="3">
        <v>55</v>
      </c>
      <c r="K18" s="3">
        <v>4.7</v>
      </c>
      <c r="L18" s="3"/>
      <c r="M18" s="3"/>
      <c r="N18" s="3" t="s">
        <v>882</v>
      </c>
      <c r="O18" s="3"/>
      <c r="P18" s="3"/>
      <c r="Q18" s="3"/>
      <c r="R18" s="3"/>
      <c r="S18" s="3"/>
      <c r="T18" s="3" t="s">
        <v>910</v>
      </c>
    </row>
    <row r="19" spans="1:20">
      <c r="A19" s="3">
        <v>18</v>
      </c>
      <c r="B19" s="3" t="s">
        <v>939</v>
      </c>
      <c r="C19" s="7" t="s">
        <v>256</v>
      </c>
      <c r="D19" s="7" t="s">
        <v>936</v>
      </c>
      <c r="E19" s="4" t="s">
        <v>940</v>
      </c>
      <c r="F19" s="4" t="s">
        <v>32</v>
      </c>
      <c r="G19" s="3" t="s">
        <v>941</v>
      </c>
      <c r="H19" s="3" t="s">
        <v>45</v>
      </c>
      <c r="I19" s="3">
        <f t="shared" si="2"/>
        <v>1974</v>
      </c>
      <c r="J19" s="3">
        <v>51</v>
      </c>
      <c r="K19" s="3">
        <v>4.7</v>
      </c>
      <c r="L19" s="3"/>
      <c r="M19" s="3"/>
      <c r="N19" s="3" t="s">
        <v>882</v>
      </c>
      <c r="O19" s="3"/>
      <c r="P19" s="3"/>
      <c r="Q19" s="3"/>
      <c r="R19" s="3"/>
      <c r="S19" s="3"/>
      <c r="T19" s="3"/>
    </row>
    <row r="20" spans="1:20">
      <c r="A20" s="3">
        <v>19</v>
      </c>
      <c r="B20" s="3" t="s">
        <v>942</v>
      </c>
      <c r="C20" s="7" t="s">
        <v>936</v>
      </c>
      <c r="D20" s="7" t="s">
        <v>262</v>
      </c>
      <c r="E20" s="4" t="s">
        <v>943</v>
      </c>
      <c r="F20" s="4" t="s">
        <v>32</v>
      </c>
      <c r="G20" s="3" t="s">
        <v>944</v>
      </c>
      <c r="H20" s="3" t="s">
        <v>45</v>
      </c>
      <c r="I20" s="3">
        <f>2025-J20</f>
        <v>1960</v>
      </c>
      <c r="J20" s="3">
        <v>65</v>
      </c>
      <c r="K20" s="3">
        <v>3</v>
      </c>
      <c r="L20" s="3"/>
      <c r="M20" s="3"/>
      <c r="N20" s="3" t="s">
        <v>882</v>
      </c>
      <c r="O20" s="3"/>
      <c r="P20" s="3"/>
      <c r="Q20" s="3"/>
      <c r="R20" s="3"/>
      <c r="S20" s="3"/>
      <c r="T20" s="3"/>
    </row>
    <row r="21" spans="1:20">
      <c r="A21" s="3">
        <v>20</v>
      </c>
      <c r="B21" s="3" t="s">
        <v>945</v>
      </c>
      <c r="C21" s="7" t="s">
        <v>936</v>
      </c>
      <c r="D21" s="7" t="s">
        <v>262</v>
      </c>
      <c r="E21" s="4" t="s">
        <v>946</v>
      </c>
      <c r="F21" s="4" t="s">
        <v>32</v>
      </c>
      <c r="G21" s="3" t="s">
        <v>947</v>
      </c>
      <c r="H21" s="3" t="s">
        <v>45</v>
      </c>
      <c r="I21" s="3">
        <f>2025-J21</f>
        <v>1997</v>
      </c>
      <c r="J21" s="3">
        <v>28</v>
      </c>
      <c r="K21" s="3">
        <v>3.9</v>
      </c>
      <c r="L21" s="3"/>
      <c r="M21" s="3"/>
      <c r="N21" s="3" t="s">
        <v>882</v>
      </c>
      <c r="O21" s="3"/>
      <c r="P21" s="3"/>
      <c r="Q21" s="3"/>
      <c r="R21" s="3"/>
      <c r="S21" s="3"/>
      <c r="T21" s="3"/>
    </row>
    <row r="22" spans="1:20">
      <c r="A22" s="3">
        <v>21</v>
      </c>
      <c r="B22" s="3" t="s">
        <v>948</v>
      </c>
      <c r="C22" s="7" t="s">
        <v>936</v>
      </c>
      <c r="D22" s="7" t="s">
        <v>262</v>
      </c>
      <c r="E22" s="4" t="s">
        <v>949</v>
      </c>
      <c r="F22" s="4" t="s">
        <v>32</v>
      </c>
      <c r="G22" s="3" t="s">
        <v>950</v>
      </c>
      <c r="H22" s="3" t="s">
        <v>45</v>
      </c>
      <c r="I22" s="3">
        <f>2025-J22</f>
        <v>1980</v>
      </c>
      <c r="J22" s="3">
        <v>45</v>
      </c>
      <c r="K22" s="3">
        <v>4.9000000000000004</v>
      </c>
      <c r="L22" s="3"/>
      <c r="M22" s="3"/>
      <c r="N22" s="3" t="s">
        <v>882</v>
      </c>
      <c r="O22" s="3"/>
      <c r="P22" s="3"/>
      <c r="Q22" s="3"/>
      <c r="R22" s="3"/>
      <c r="S22" s="3"/>
      <c r="T22" s="3"/>
    </row>
    <row r="23" spans="1:20">
      <c r="A23" s="3">
        <v>22</v>
      </c>
      <c r="B23" s="103" t="s">
        <v>951</v>
      </c>
      <c r="C23" s="133" t="s">
        <v>936</v>
      </c>
      <c r="D23" s="133" t="s">
        <v>262</v>
      </c>
      <c r="E23" s="102" t="s">
        <v>952</v>
      </c>
      <c r="F23" s="102" t="s">
        <v>32</v>
      </c>
      <c r="G23" s="103" t="s">
        <v>953</v>
      </c>
      <c r="H23" s="103" t="s">
        <v>45</v>
      </c>
      <c r="I23" s="103">
        <f>2025-J23</f>
        <v>1976</v>
      </c>
      <c r="J23" s="103">
        <v>49</v>
      </c>
      <c r="K23" s="103">
        <v>4.2</v>
      </c>
      <c r="L23" s="103" t="s">
        <v>508</v>
      </c>
      <c r="M23" s="103" t="s">
        <v>291</v>
      </c>
      <c r="N23" s="103" t="s">
        <v>292</v>
      </c>
      <c r="O23" s="103"/>
      <c r="P23" s="103"/>
      <c r="Q23" s="103"/>
      <c r="R23" s="103"/>
      <c r="S23" s="103"/>
      <c r="T23" s="103"/>
    </row>
    <row r="24" spans="1:20">
      <c r="A24" s="5">
        <v>23</v>
      </c>
      <c r="B24" s="134" t="s">
        <v>954</v>
      </c>
      <c r="C24" s="135" t="s">
        <v>936</v>
      </c>
      <c r="D24" s="135" t="s">
        <v>262</v>
      </c>
      <c r="E24" s="102" t="s">
        <v>955</v>
      </c>
      <c r="F24" s="102" t="s">
        <v>32</v>
      </c>
      <c r="G24" s="134" t="s">
        <v>956</v>
      </c>
      <c r="H24" s="134" t="s">
        <v>34</v>
      </c>
      <c r="I24" s="134">
        <f>2025-J24</f>
        <v>1984</v>
      </c>
      <c r="J24" s="134">
        <v>41</v>
      </c>
      <c r="K24" s="134">
        <v>4.2</v>
      </c>
      <c r="L24" s="134" t="s">
        <v>508</v>
      </c>
      <c r="M24" s="134" t="s">
        <v>957</v>
      </c>
      <c r="N24" s="103" t="s">
        <v>292</v>
      </c>
      <c r="O24" s="134"/>
      <c r="P24" s="134"/>
      <c r="Q24" s="134"/>
      <c r="R24" s="134"/>
      <c r="S24" s="134"/>
      <c r="T24" s="103" t="s">
        <v>910</v>
      </c>
    </row>
    <row r="25" spans="1:20">
      <c r="A25" s="5">
        <v>24</v>
      </c>
      <c r="B25" s="5" t="s">
        <v>958</v>
      </c>
      <c r="C25" s="14" t="s">
        <v>262</v>
      </c>
      <c r="D25" s="14" t="s">
        <v>263</v>
      </c>
      <c r="E25" s="4" t="s">
        <v>959</v>
      </c>
      <c r="F25" s="4" t="s">
        <v>32</v>
      </c>
      <c r="G25" s="5" t="s">
        <v>960</v>
      </c>
      <c r="H25" s="18" t="s">
        <v>34</v>
      </c>
      <c r="I25" s="5">
        <f>2025-J25</f>
        <v>1971</v>
      </c>
      <c r="J25" s="9">
        <v>54</v>
      </c>
      <c r="K25" s="5">
        <v>4.2</v>
      </c>
      <c r="L25" s="5"/>
      <c r="M25" s="5"/>
      <c r="N25" s="5" t="s">
        <v>882</v>
      </c>
      <c r="O25" s="5"/>
      <c r="P25" s="5"/>
      <c r="Q25" s="5"/>
      <c r="R25" s="5"/>
      <c r="S25" s="5"/>
      <c r="T25" s="5" t="s">
        <v>549</v>
      </c>
    </row>
    <row r="26" spans="1:20">
      <c r="A26" s="35">
        <v>25</v>
      </c>
      <c r="B26" s="35" t="s">
        <v>961</v>
      </c>
      <c r="C26" s="36" t="s">
        <v>263</v>
      </c>
      <c r="D26" s="36" t="s">
        <v>276</v>
      </c>
      <c r="E26" s="4" t="s">
        <v>962</v>
      </c>
      <c r="F26" s="4" t="s">
        <v>32</v>
      </c>
      <c r="G26" s="35" t="s">
        <v>963</v>
      </c>
      <c r="H26" s="24" t="s">
        <v>45</v>
      </c>
      <c r="I26" s="35">
        <f>2025-J26</f>
        <v>1969</v>
      </c>
      <c r="J26" s="35">
        <v>56</v>
      </c>
      <c r="K26" s="35">
        <v>3.9</v>
      </c>
      <c r="L26" s="35"/>
      <c r="M26" s="35"/>
      <c r="N26" s="35" t="s">
        <v>882</v>
      </c>
      <c r="O26" s="35"/>
      <c r="P26" s="35"/>
      <c r="Q26" s="35"/>
      <c r="R26" s="35"/>
      <c r="S26" s="35"/>
      <c r="T26" s="37" t="s">
        <v>964</v>
      </c>
    </row>
    <row r="27" spans="1:20">
      <c r="A27" s="15">
        <v>26</v>
      </c>
      <c r="B27" s="15" t="s">
        <v>965</v>
      </c>
      <c r="C27" s="14" t="s">
        <v>263</v>
      </c>
      <c r="D27" s="14" t="s">
        <v>276</v>
      </c>
      <c r="E27" s="4" t="s">
        <v>966</v>
      </c>
      <c r="F27" s="4" t="s">
        <v>32</v>
      </c>
      <c r="G27" s="15" t="s">
        <v>967</v>
      </c>
      <c r="H27" s="15" t="s">
        <v>34</v>
      </c>
      <c r="I27" s="15">
        <f>2025-J27</f>
        <v>1982</v>
      </c>
      <c r="J27" s="15">
        <v>43</v>
      </c>
      <c r="K27" s="15">
        <v>2.5</v>
      </c>
      <c r="L27" s="15"/>
      <c r="M27" s="15"/>
      <c r="N27" s="15" t="s">
        <v>882</v>
      </c>
      <c r="O27" s="15"/>
      <c r="P27" s="15"/>
      <c r="Q27" s="15"/>
      <c r="R27" s="15"/>
      <c r="S27" s="15"/>
      <c r="T27" s="15" t="s">
        <v>205</v>
      </c>
    </row>
    <row r="28" spans="1:20">
      <c r="A28" s="15">
        <v>27</v>
      </c>
      <c r="B28" s="15" t="s">
        <v>968</v>
      </c>
      <c r="C28" s="14" t="s">
        <v>263</v>
      </c>
      <c r="D28" s="14" t="s">
        <v>276</v>
      </c>
      <c r="E28" s="4" t="s">
        <v>969</v>
      </c>
      <c r="F28" s="4" t="s">
        <v>32</v>
      </c>
      <c r="G28" s="15" t="s">
        <v>970</v>
      </c>
      <c r="H28" s="15" t="s">
        <v>34</v>
      </c>
      <c r="I28" s="15">
        <f>2025-J28</f>
        <v>1987</v>
      </c>
      <c r="J28" s="15">
        <v>38</v>
      </c>
      <c r="K28" s="15">
        <v>4</v>
      </c>
      <c r="L28" s="15"/>
      <c r="M28" s="15"/>
      <c r="N28" s="15" t="s">
        <v>882</v>
      </c>
      <c r="O28" s="15"/>
      <c r="P28" s="15"/>
      <c r="Q28" s="15"/>
      <c r="R28" s="15"/>
      <c r="S28" s="15"/>
      <c r="T28" s="15"/>
    </row>
    <row r="29" spans="1:20">
      <c r="A29" s="15">
        <v>28</v>
      </c>
      <c r="B29" s="15" t="s">
        <v>971</v>
      </c>
      <c r="C29" s="14" t="s">
        <v>263</v>
      </c>
      <c r="D29" s="14" t="s">
        <v>276</v>
      </c>
      <c r="E29" s="4" t="s">
        <v>972</v>
      </c>
      <c r="F29" s="4" t="s">
        <v>32</v>
      </c>
      <c r="G29" s="15" t="s">
        <v>973</v>
      </c>
      <c r="H29" s="15" t="s">
        <v>45</v>
      </c>
      <c r="I29" s="15">
        <f>2025-J29</f>
        <v>1962</v>
      </c>
      <c r="J29" s="15">
        <v>63</v>
      </c>
      <c r="K29" s="15">
        <v>4.5</v>
      </c>
      <c r="L29" s="15"/>
      <c r="M29" s="15"/>
      <c r="N29" s="15" t="s">
        <v>882</v>
      </c>
      <c r="O29" s="15"/>
      <c r="P29" s="15"/>
      <c r="Q29" s="15"/>
      <c r="R29" s="15"/>
      <c r="S29" s="15"/>
      <c r="T29" s="15"/>
    </row>
    <row r="30" spans="1:20">
      <c r="A30" s="15">
        <v>29</v>
      </c>
      <c r="B30" s="15" t="s">
        <v>974</v>
      </c>
      <c r="C30" s="14" t="s">
        <v>263</v>
      </c>
      <c r="D30" s="14" t="s">
        <v>276</v>
      </c>
      <c r="E30" s="4" t="s">
        <v>975</v>
      </c>
      <c r="F30" s="4" t="s">
        <v>32</v>
      </c>
      <c r="G30" s="15" t="s">
        <v>976</v>
      </c>
      <c r="H30" s="15" t="s">
        <v>45</v>
      </c>
      <c r="I30" s="15">
        <f>2025-J30</f>
        <v>1967</v>
      </c>
      <c r="J30" s="15">
        <v>58</v>
      </c>
      <c r="K30" s="15">
        <v>4.5</v>
      </c>
      <c r="L30" s="15"/>
      <c r="M30" s="15"/>
      <c r="N30" s="15" t="s">
        <v>882</v>
      </c>
      <c r="O30" s="15"/>
      <c r="P30" s="15"/>
      <c r="Q30" s="15"/>
      <c r="R30" s="15"/>
      <c r="S30" s="15"/>
      <c r="T30" s="15"/>
    </row>
    <row r="31" spans="1:20">
      <c r="A31" s="16">
        <v>30</v>
      </c>
      <c r="B31" s="16" t="s">
        <v>977</v>
      </c>
      <c r="C31" s="17" t="s">
        <v>262</v>
      </c>
      <c r="D31" s="17" t="s">
        <v>276</v>
      </c>
      <c r="E31" s="4" t="s">
        <v>978</v>
      </c>
      <c r="F31" s="4" t="s">
        <v>32</v>
      </c>
      <c r="G31" s="16" t="s">
        <v>979</v>
      </c>
      <c r="H31" s="16" t="s">
        <v>45</v>
      </c>
      <c r="I31" s="16">
        <f>2025-J31</f>
        <v>1961</v>
      </c>
      <c r="J31" s="16">
        <v>64</v>
      </c>
      <c r="K31" s="16">
        <v>4.7</v>
      </c>
      <c r="L31" s="16"/>
      <c r="M31" s="16"/>
      <c r="N31" s="16" t="s">
        <v>882</v>
      </c>
      <c r="O31" s="16"/>
      <c r="P31" s="16"/>
      <c r="Q31" s="16"/>
      <c r="R31" s="16"/>
      <c r="S31" s="16"/>
      <c r="T31" s="16"/>
    </row>
    <row r="32" spans="1:20" s="69" customFormat="1">
      <c r="A32" s="40">
        <v>31</v>
      </c>
      <c r="B32" s="40" t="s">
        <v>980</v>
      </c>
      <c r="C32" s="42" t="s">
        <v>276</v>
      </c>
      <c r="D32" s="42" t="s">
        <v>284</v>
      </c>
      <c r="E32" s="54" t="s">
        <v>981</v>
      </c>
      <c r="F32" s="54" t="s">
        <v>32</v>
      </c>
      <c r="G32" s="40" t="s">
        <v>982</v>
      </c>
      <c r="H32" s="40" t="s">
        <v>34</v>
      </c>
      <c r="I32" s="51">
        <f t="shared" ref="I32:I51" si="3">2025-J32</f>
        <v>1950</v>
      </c>
      <c r="J32" s="40">
        <v>75</v>
      </c>
      <c r="K32" s="40">
        <v>5.8</v>
      </c>
      <c r="L32" s="40"/>
      <c r="M32" s="40" t="s">
        <v>983</v>
      </c>
      <c r="N32" s="40" t="s">
        <v>48</v>
      </c>
      <c r="O32" s="40"/>
      <c r="P32" s="40"/>
      <c r="Q32" s="40"/>
      <c r="R32" s="40"/>
      <c r="S32" s="40"/>
      <c r="T32" s="40"/>
    </row>
    <row r="33" spans="1:20">
      <c r="A33" s="3">
        <v>32</v>
      </c>
      <c r="B33" s="3" t="s">
        <v>984</v>
      </c>
      <c r="C33" s="7" t="s">
        <v>276</v>
      </c>
      <c r="D33" s="7" t="s">
        <v>284</v>
      </c>
      <c r="E33" s="4" t="s">
        <v>985</v>
      </c>
      <c r="F33" s="4" t="s">
        <v>32</v>
      </c>
      <c r="G33" s="3" t="s">
        <v>986</v>
      </c>
      <c r="H33" s="3" t="s">
        <v>34</v>
      </c>
      <c r="I33" s="16">
        <f t="shared" si="3"/>
        <v>1970</v>
      </c>
      <c r="J33" s="3">
        <v>55</v>
      </c>
      <c r="K33" s="3">
        <v>4.7</v>
      </c>
      <c r="L33" s="3"/>
      <c r="M33" s="3"/>
      <c r="N33" s="3" t="s">
        <v>882</v>
      </c>
      <c r="O33" s="3"/>
      <c r="P33" s="3"/>
      <c r="Q33" s="3"/>
      <c r="R33" s="3"/>
      <c r="S33" s="3"/>
      <c r="T33" s="3"/>
    </row>
    <row r="34" spans="1:20">
      <c r="A34" s="3">
        <v>33</v>
      </c>
      <c r="B34" s="3" t="s">
        <v>987</v>
      </c>
      <c r="C34" s="7" t="s">
        <v>276</v>
      </c>
      <c r="D34" s="7" t="s">
        <v>284</v>
      </c>
      <c r="E34" s="4" t="s">
        <v>988</v>
      </c>
      <c r="F34" s="4" t="s">
        <v>32</v>
      </c>
      <c r="G34" s="3" t="s">
        <v>989</v>
      </c>
      <c r="H34" s="3" t="s">
        <v>45</v>
      </c>
      <c r="I34" s="16">
        <f t="shared" si="3"/>
        <v>1977</v>
      </c>
      <c r="J34" s="3">
        <v>48</v>
      </c>
      <c r="K34" s="3">
        <v>4.7</v>
      </c>
      <c r="L34" s="3"/>
      <c r="M34" s="3"/>
      <c r="N34" s="3" t="s">
        <v>882</v>
      </c>
      <c r="O34" s="3"/>
      <c r="P34" s="3"/>
      <c r="Q34" s="3"/>
      <c r="R34" s="3"/>
      <c r="S34" s="3"/>
      <c r="T34" s="3"/>
    </row>
    <row r="35" spans="1:20" ht="30.75">
      <c r="A35" s="27">
        <v>34</v>
      </c>
      <c r="B35" s="27" t="s">
        <v>990</v>
      </c>
      <c r="C35" s="36" t="s">
        <v>276</v>
      </c>
      <c r="D35" s="36" t="s">
        <v>284</v>
      </c>
      <c r="E35" s="4" t="s">
        <v>991</v>
      </c>
      <c r="F35" s="4" t="s">
        <v>32</v>
      </c>
      <c r="G35" s="27" t="s">
        <v>992</v>
      </c>
      <c r="H35" s="27" t="s">
        <v>34</v>
      </c>
      <c r="I35" s="38">
        <f t="shared" si="3"/>
        <v>1958</v>
      </c>
      <c r="J35" s="27">
        <v>67</v>
      </c>
      <c r="K35" s="27">
        <v>3.5</v>
      </c>
      <c r="L35" s="27"/>
      <c r="M35" s="27"/>
      <c r="N35" s="27" t="s">
        <v>882</v>
      </c>
      <c r="O35" s="27"/>
      <c r="P35" s="27"/>
      <c r="Q35" s="27"/>
      <c r="R35" s="27"/>
      <c r="S35" s="27"/>
      <c r="T35" s="33" t="s">
        <v>993</v>
      </c>
    </row>
    <row r="36" spans="1:20">
      <c r="A36" s="3">
        <v>35</v>
      </c>
      <c r="B36" s="3" t="s">
        <v>994</v>
      </c>
      <c r="C36" s="7" t="s">
        <v>284</v>
      </c>
      <c r="D36" s="7" t="s">
        <v>295</v>
      </c>
      <c r="E36" s="4" t="s">
        <v>995</v>
      </c>
      <c r="F36" s="4" t="s">
        <v>32</v>
      </c>
      <c r="G36" s="3" t="s">
        <v>996</v>
      </c>
      <c r="H36" s="3" t="s">
        <v>45</v>
      </c>
      <c r="I36" s="3">
        <f t="shared" si="3"/>
        <v>1957</v>
      </c>
      <c r="J36" s="3">
        <v>68</v>
      </c>
      <c r="K36" s="3">
        <v>5.8</v>
      </c>
      <c r="L36" s="3"/>
      <c r="M36" s="3"/>
      <c r="N36" s="3" t="s">
        <v>882</v>
      </c>
      <c r="O36" s="3"/>
      <c r="P36" s="3"/>
      <c r="Q36" s="3"/>
      <c r="R36" s="3"/>
      <c r="S36" s="3"/>
      <c r="T36" s="3"/>
    </row>
    <row r="37" spans="1:20">
      <c r="A37" s="3">
        <v>36</v>
      </c>
      <c r="B37" s="3" t="s">
        <v>997</v>
      </c>
      <c r="C37" s="7" t="s">
        <v>284</v>
      </c>
      <c r="D37" s="7" t="s">
        <v>295</v>
      </c>
      <c r="E37" s="4" t="s">
        <v>998</v>
      </c>
      <c r="F37" s="4" t="s">
        <v>32</v>
      </c>
      <c r="G37" s="3" t="s">
        <v>999</v>
      </c>
      <c r="H37" s="3" t="s">
        <v>34</v>
      </c>
      <c r="I37" s="3">
        <f t="shared" si="3"/>
        <v>1976</v>
      </c>
      <c r="J37" s="3">
        <v>49</v>
      </c>
      <c r="K37" s="3">
        <v>4.5999999999999996</v>
      </c>
      <c r="L37" s="3"/>
      <c r="M37" s="3"/>
      <c r="N37" s="3" t="s">
        <v>882</v>
      </c>
      <c r="O37" s="3"/>
      <c r="P37" s="3"/>
      <c r="Q37" s="3"/>
      <c r="R37" s="3"/>
      <c r="S37" s="3"/>
      <c r="T37" s="3" t="s">
        <v>910</v>
      </c>
    </row>
    <row r="38" spans="1:20">
      <c r="A38" s="3">
        <v>37</v>
      </c>
      <c r="B38" s="3" t="s">
        <v>1000</v>
      </c>
      <c r="C38" s="7" t="s">
        <v>284</v>
      </c>
      <c r="D38" s="7" t="s">
        <v>295</v>
      </c>
      <c r="E38" s="7" t="s">
        <v>1001</v>
      </c>
      <c r="F38" s="7" t="s">
        <v>32</v>
      </c>
      <c r="G38" s="3" t="s">
        <v>1002</v>
      </c>
      <c r="H38" s="3" t="s">
        <v>34</v>
      </c>
      <c r="I38" s="3">
        <f t="shared" si="3"/>
        <v>1971</v>
      </c>
      <c r="J38" s="3">
        <v>54</v>
      </c>
      <c r="K38" s="3">
        <v>4.2</v>
      </c>
      <c r="L38" s="3"/>
      <c r="M38" s="3"/>
      <c r="N38" s="3" t="s">
        <v>882</v>
      </c>
      <c r="O38" s="3"/>
      <c r="P38" s="3"/>
      <c r="Q38" s="3"/>
      <c r="R38" s="3"/>
      <c r="S38" s="3"/>
      <c r="T38" s="3"/>
    </row>
    <row r="39" spans="1:20">
      <c r="A39" s="3">
        <v>38</v>
      </c>
      <c r="B39" s="3" t="s">
        <v>1003</v>
      </c>
      <c r="C39" s="7" t="s">
        <v>284</v>
      </c>
      <c r="D39" s="7" t="s">
        <v>295</v>
      </c>
      <c r="E39" s="7" t="s">
        <v>1004</v>
      </c>
      <c r="F39" s="7" t="s">
        <v>32</v>
      </c>
      <c r="G39" s="3" t="s">
        <v>1005</v>
      </c>
      <c r="H39" s="3" t="s">
        <v>45</v>
      </c>
      <c r="I39" s="3">
        <f t="shared" si="3"/>
        <v>1965</v>
      </c>
      <c r="J39" s="3">
        <v>60</v>
      </c>
      <c r="K39" s="3">
        <v>4.9000000000000004</v>
      </c>
      <c r="L39" s="3"/>
      <c r="M39" s="3"/>
      <c r="N39" s="3" t="s">
        <v>882</v>
      </c>
      <c r="O39" s="3"/>
      <c r="P39" s="3"/>
      <c r="Q39" s="3"/>
      <c r="R39" s="3"/>
      <c r="S39" s="3"/>
      <c r="T39" s="3" t="s">
        <v>1006</v>
      </c>
    </row>
    <row r="40" spans="1:20">
      <c r="A40" s="3">
        <v>39</v>
      </c>
      <c r="B40" s="3" t="s">
        <v>1007</v>
      </c>
      <c r="C40" s="7" t="s">
        <v>284</v>
      </c>
      <c r="D40" s="7" t="s">
        <v>295</v>
      </c>
      <c r="E40" s="7" t="s">
        <v>1008</v>
      </c>
      <c r="F40" s="7" t="s">
        <v>32</v>
      </c>
      <c r="G40" s="3" t="s">
        <v>1009</v>
      </c>
      <c r="H40" s="3" t="s">
        <v>45</v>
      </c>
      <c r="I40" s="3">
        <f t="shared" si="3"/>
        <v>1964</v>
      </c>
      <c r="J40" s="3">
        <v>61</v>
      </c>
      <c r="K40" s="3">
        <v>4.5</v>
      </c>
      <c r="L40" s="3"/>
      <c r="M40" s="3"/>
      <c r="N40" s="3" t="s">
        <v>882</v>
      </c>
      <c r="O40" s="3"/>
      <c r="P40" s="3"/>
      <c r="Q40" s="3"/>
      <c r="R40" s="3"/>
      <c r="S40" s="3"/>
      <c r="T40" s="3" t="s">
        <v>1010</v>
      </c>
    </row>
    <row r="41" spans="1:20">
      <c r="A41" s="5">
        <v>40</v>
      </c>
      <c r="B41" s="5" t="s">
        <v>1011</v>
      </c>
      <c r="C41" s="14" t="s">
        <v>284</v>
      </c>
      <c r="D41" s="14" t="s">
        <v>295</v>
      </c>
      <c r="E41" s="14" t="s">
        <v>1012</v>
      </c>
      <c r="F41" s="14" t="s">
        <v>32</v>
      </c>
      <c r="G41" s="5" t="s">
        <v>1013</v>
      </c>
      <c r="H41" s="5" t="s">
        <v>45</v>
      </c>
      <c r="I41" s="5">
        <f t="shared" si="3"/>
        <v>1975</v>
      </c>
      <c r="J41" s="5">
        <v>50</v>
      </c>
      <c r="K41" s="5">
        <v>4.5</v>
      </c>
      <c r="L41" s="5"/>
      <c r="M41" s="5"/>
      <c r="N41" s="5" t="s">
        <v>882</v>
      </c>
      <c r="O41" s="5"/>
      <c r="P41" s="5"/>
      <c r="Q41" s="5"/>
      <c r="R41" s="5"/>
      <c r="S41" s="5"/>
      <c r="T41" s="5"/>
    </row>
    <row r="42" spans="1:20">
      <c r="A42" s="3">
        <v>41</v>
      </c>
      <c r="B42" s="3" t="s">
        <v>1014</v>
      </c>
      <c r="C42" s="13" t="s">
        <v>312</v>
      </c>
      <c r="D42" s="3"/>
      <c r="E42" s="3" t="s">
        <v>1015</v>
      </c>
      <c r="F42" s="3" t="s">
        <v>32</v>
      </c>
      <c r="G42" s="3" t="s">
        <v>1016</v>
      </c>
      <c r="H42" s="3" t="s">
        <v>45</v>
      </c>
      <c r="I42" s="3">
        <f t="shared" si="3"/>
        <v>1979</v>
      </c>
      <c r="J42" s="3">
        <v>46</v>
      </c>
      <c r="K42" s="3">
        <v>4.2</v>
      </c>
      <c r="L42" s="3"/>
      <c r="M42" s="3"/>
      <c r="N42" s="3" t="s">
        <v>882</v>
      </c>
      <c r="O42" s="3"/>
      <c r="P42" s="3"/>
      <c r="Q42" s="3"/>
      <c r="R42" s="3"/>
      <c r="S42" s="3"/>
      <c r="T42" s="3"/>
    </row>
    <row r="43" spans="1:20">
      <c r="A43" s="3">
        <v>42</v>
      </c>
      <c r="B43" s="3" t="s">
        <v>1017</v>
      </c>
      <c r="C43" s="13" t="s">
        <v>312</v>
      </c>
      <c r="D43" s="3"/>
      <c r="E43" s="3" t="s">
        <v>1018</v>
      </c>
      <c r="F43" s="3" t="s">
        <v>32</v>
      </c>
      <c r="G43" s="3" t="s">
        <v>1019</v>
      </c>
      <c r="H43" s="3" t="s">
        <v>45</v>
      </c>
      <c r="I43" s="3">
        <f t="shared" si="3"/>
        <v>1964</v>
      </c>
      <c r="J43" s="3">
        <v>61</v>
      </c>
      <c r="K43" s="3">
        <v>3.8</v>
      </c>
      <c r="L43" s="3"/>
      <c r="M43" s="3"/>
      <c r="N43" s="3" t="s">
        <v>882</v>
      </c>
      <c r="O43" s="3"/>
      <c r="P43" s="3"/>
      <c r="Q43" s="3"/>
      <c r="R43" s="3"/>
      <c r="S43" s="3"/>
      <c r="T43" s="3" t="s">
        <v>910</v>
      </c>
    </row>
    <row r="44" spans="1:20">
      <c r="A44" s="5">
        <v>43</v>
      </c>
      <c r="B44" s="5" t="s">
        <v>1020</v>
      </c>
      <c r="C44" s="12" t="s">
        <v>312</v>
      </c>
      <c r="D44" s="5"/>
      <c r="E44" s="14" t="s">
        <v>1021</v>
      </c>
      <c r="F44" s="14" t="s">
        <v>32</v>
      </c>
      <c r="G44" s="5" t="s">
        <v>1022</v>
      </c>
      <c r="H44" s="5" t="s">
        <v>34</v>
      </c>
      <c r="I44" s="5">
        <f t="shared" si="3"/>
        <v>1962</v>
      </c>
      <c r="J44" s="5">
        <v>63</v>
      </c>
      <c r="K44" s="5">
        <v>4</v>
      </c>
      <c r="L44" s="5"/>
      <c r="M44" s="5"/>
      <c r="N44" s="5" t="s">
        <v>882</v>
      </c>
      <c r="O44" s="5"/>
      <c r="P44" s="5"/>
      <c r="Q44" s="5"/>
      <c r="R44" s="5"/>
      <c r="S44" s="5"/>
      <c r="T44" s="3" t="s">
        <v>910</v>
      </c>
    </row>
    <row r="45" spans="1:20">
      <c r="A45" s="3">
        <v>44</v>
      </c>
      <c r="B45" s="3" t="s">
        <v>1023</v>
      </c>
      <c r="C45" s="7" t="s">
        <v>320</v>
      </c>
      <c r="D45" s="7" t="s">
        <v>321</v>
      </c>
      <c r="E45" s="14" t="s">
        <v>1024</v>
      </c>
      <c r="F45" s="14" t="s">
        <v>32</v>
      </c>
      <c r="G45" s="3" t="s">
        <v>1025</v>
      </c>
      <c r="H45" s="3" t="s">
        <v>34</v>
      </c>
      <c r="I45" s="3">
        <f t="shared" si="3"/>
        <v>1972</v>
      </c>
      <c r="J45" s="3">
        <v>53</v>
      </c>
      <c r="K45" s="3">
        <v>4.0999999999999996</v>
      </c>
      <c r="L45" s="3"/>
      <c r="M45" s="3"/>
      <c r="N45" s="3" t="s">
        <v>882</v>
      </c>
      <c r="O45" s="3"/>
      <c r="P45" s="3"/>
      <c r="Q45" s="3"/>
      <c r="R45" s="3"/>
      <c r="S45" s="3"/>
      <c r="T45" s="3" t="s">
        <v>910</v>
      </c>
    </row>
    <row r="46" spans="1:20">
      <c r="A46" s="3">
        <v>45</v>
      </c>
      <c r="B46" s="3" t="s">
        <v>1026</v>
      </c>
      <c r="C46" s="7" t="s">
        <v>320</v>
      </c>
      <c r="D46" s="7" t="s">
        <v>321</v>
      </c>
      <c r="E46" s="14" t="s">
        <v>1027</v>
      </c>
      <c r="F46" s="14" t="s">
        <v>32</v>
      </c>
      <c r="G46" s="3" t="s">
        <v>1028</v>
      </c>
      <c r="H46" s="3" t="s">
        <v>34</v>
      </c>
      <c r="I46" s="3">
        <f t="shared" si="3"/>
        <v>1969</v>
      </c>
      <c r="J46" s="5">
        <v>56</v>
      </c>
      <c r="K46" s="3">
        <v>4</v>
      </c>
      <c r="L46" s="3"/>
      <c r="M46" s="3"/>
      <c r="N46" s="3" t="s">
        <v>882</v>
      </c>
      <c r="O46" s="3"/>
      <c r="P46" s="3"/>
      <c r="Q46" s="3"/>
      <c r="R46" s="3"/>
      <c r="S46" s="3"/>
      <c r="T46" s="3"/>
    </row>
    <row r="47" spans="1:20">
      <c r="A47" s="5">
        <v>46</v>
      </c>
      <c r="B47" s="5" t="s">
        <v>1029</v>
      </c>
      <c r="C47" s="14" t="s">
        <v>320</v>
      </c>
      <c r="D47" s="7" t="s">
        <v>321</v>
      </c>
      <c r="E47" s="14" t="s">
        <v>1030</v>
      </c>
      <c r="F47" s="14" t="s">
        <v>32</v>
      </c>
      <c r="G47" s="5" t="s">
        <v>1031</v>
      </c>
      <c r="H47" s="5" t="s">
        <v>45</v>
      </c>
      <c r="I47" s="18">
        <f t="shared" si="3"/>
        <v>1966</v>
      </c>
      <c r="J47" s="3">
        <v>59</v>
      </c>
      <c r="K47" s="9">
        <v>4.5</v>
      </c>
      <c r="L47" s="5"/>
      <c r="M47" s="5"/>
      <c r="N47" s="5" t="s">
        <v>882</v>
      </c>
      <c r="O47" s="5"/>
      <c r="P47" s="5"/>
      <c r="Q47" s="5"/>
      <c r="R47" s="5"/>
      <c r="S47" s="5"/>
      <c r="T47" s="5"/>
    </row>
    <row r="48" spans="1:20">
      <c r="A48" s="3">
        <v>47</v>
      </c>
      <c r="B48" s="3" t="s">
        <v>1032</v>
      </c>
      <c r="C48" s="4" t="s">
        <v>321</v>
      </c>
      <c r="D48" s="4" t="s">
        <v>329</v>
      </c>
      <c r="E48" s="14" t="s">
        <v>1033</v>
      </c>
      <c r="F48" s="14" t="s">
        <v>32</v>
      </c>
      <c r="G48" s="19" t="s">
        <v>1034</v>
      </c>
      <c r="H48" s="3" t="s">
        <v>34</v>
      </c>
      <c r="I48" s="21">
        <v>1972</v>
      </c>
      <c r="J48" s="3">
        <f>2025-I48</f>
        <v>53</v>
      </c>
      <c r="K48" s="8">
        <v>3.9</v>
      </c>
      <c r="L48" s="3"/>
      <c r="M48" s="3"/>
      <c r="N48" s="3" t="s">
        <v>882</v>
      </c>
      <c r="O48" s="3"/>
      <c r="P48" s="3"/>
      <c r="Q48" s="3"/>
      <c r="R48" s="3"/>
      <c r="S48" s="3"/>
      <c r="T48" s="3"/>
    </row>
    <row r="49" spans="1:20">
      <c r="A49" s="3">
        <v>48</v>
      </c>
      <c r="B49" s="3" t="s">
        <v>1035</v>
      </c>
      <c r="C49" s="4" t="s">
        <v>321</v>
      </c>
      <c r="D49" s="4" t="s">
        <v>329</v>
      </c>
      <c r="E49" s="14" t="s">
        <v>1036</v>
      </c>
      <c r="F49" s="14" t="s">
        <v>32</v>
      </c>
      <c r="G49" s="19" t="s">
        <v>1037</v>
      </c>
      <c r="H49" s="3" t="s">
        <v>45</v>
      </c>
      <c r="I49" s="21">
        <v>1953</v>
      </c>
      <c r="J49" s="3">
        <f t="shared" ref="J49:J54" si="4">2025-I49</f>
        <v>72</v>
      </c>
      <c r="K49" s="8">
        <v>5.2</v>
      </c>
      <c r="L49" s="3"/>
      <c r="M49" s="3"/>
      <c r="N49" s="3" t="s">
        <v>882</v>
      </c>
      <c r="O49" s="3"/>
      <c r="P49" s="3"/>
      <c r="Q49" s="3"/>
      <c r="R49" s="3"/>
      <c r="S49" s="3"/>
      <c r="T49" s="3"/>
    </row>
    <row r="50" spans="1:20">
      <c r="A50" s="3">
        <v>49</v>
      </c>
      <c r="B50" s="3" t="s">
        <v>1038</v>
      </c>
      <c r="C50" s="4" t="s">
        <v>321</v>
      </c>
      <c r="D50" s="4" t="s">
        <v>329</v>
      </c>
      <c r="E50" s="14" t="s">
        <v>1039</v>
      </c>
      <c r="F50" s="14" t="s">
        <v>32</v>
      </c>
      <c r="G50" s="19" t="s">
        <v>1040</v>
      </c>
      <c r="H50" s="3" t="s">
        <v>34</v>
      </c>
      <c r="I50" s="21">
        <v>1985</v>
      </c>
      <c r="J50" s="3">
        <f t="shared" si="4"/>
        <v>40</v>
      </c>
      <c r="K50" s="8">
        <v>4</v>
      </c>
      <c r="L50" s="3"/>
      <c r="M50" s="3"/>
      <c r="N50" s="3" t="s">
        <v>882</v>
      </c>
      <c r="O50" s="3"/>
      <c r="P50" s="3"/>
      <c r="Q50" s="3"/>
      <c r="R50" s="3"/>
      <c r="S50" s="3"/>
      <c r="T50" s="3" t="s">
        <v>910</v>
      </c>
    </row>
    <row r="51" spans="1:20">
      <c r="A51" s="24">
        <v>50</v>
      </c>
      <c r="B51" s="24" t="s">
        <v>1041</v>
      </c>
      <c r="C51" s="28" t="s">
        <v>321</v>
      </c>
      <c r="D51" s="28" t="s">
        <v>329</v>
      </c>
      <c r="E51" s="14" t="s">
        <v>1042</v>
      </c>
      <c r="F51" s="14" t="s">
        <v>32</v>
      </c>
      <c r="G51" s="25" t="s">
        <v>1043</v>
      </c>
      <c r="H51" s="24" t="s">
        <v>34</v>
      </c>
      <c r="I51" s="39">
        <v>1971</v>
      </c>
      <c r="J51" s="24">
        <f t="shared" si="4"/>
        <v>54</v>
      </c>
      <c r="K51" s="34">
        <v>3.2</v>
      </c>
      <c r="L51" s="24"/>
      <c r="M51" s="24"/>
      <c r="N51" s="24" t="s">
        <v>882</v>
      </c>
      <c r="O51" s="24"/>
      <c r="P51" s="24"/>
      <c r="Q51" s="24"/>
      <c r="R51" s="24"/>
      <c r="S51" s="24"/>
      <c r="T51" s="37" t="s">
        <v>964</v>
      </c>
    </row>
    <row r="52" spans="1:20">
      <c r="A52" s="3">
        <v>51</v>
      </c>
      <c r="B52" s="3" t="s">
        <v>1044</v>
      </c>
      <c r="C52" s="20" t="s">
        <v>321</v>
      </c>
      <c r="D52" s="20" t="s">
        <v>329</v>
      </c>
      <c r="E52" s="58" t="s">
        <v>1045</v>
      </c>
      <c r="F52" s="58" t="s">
        <v>32</v>
      </c>
      <c r="G52" s="18" t="s">
        <v>1046</v>
      </c>
      <c r="H52" s="5" t="s">
        <v>45</v>
      </c>
      <c r="I52" s="22">
        <v>1969</v>
      </c>
      <c r="J52" s="3">
        <f t="shared" si="4"/>
        <v>56</v>
      </c>
      <c r="K52" s="9">
        <v>4.8</v>
      </c>
      <c r="L52" s="5"/>
      <c r="M52" s="5"/>
      <c r="N52" s="5" t="s">
        <v>882</v>
      </c>
      <c r="O52" s="5"/>
      <c r="P52" s="5"/>
      <c r="Q52" s="5"/>
      <c r="R52" s="5"/>
      <c r="S52" s="5"/>
      <c r="T52" s="5"/>
    </row>
    <row r="53" spans="1:20">
      <c r="A53" s="3">
        <v>52</v>
      </c>
      <c r="B53" s="19" t="s">
        <v>1047</v>
      </c>
      <c r="C53" s="7" t="s">
        <v>329</v>
      </c>
      <c r="D53" s="13" t="s">
        <v>337</v>
      </c>
      <c r="E53" s="13" t="s">
        <v>1048</v>
      </c>
      <c r="F53" s="13" t="s">
        <v>32</v>
      </c>
      <c r="G53" s="3" t="s">
        <v>1049</v>
      </c>
      <c r="H53" s="3" t="s">
        <v>34</v>
      </c>
      <c r="I53" s="19">
        <v>1962</v>
      </c>
      <c r="J53" s="3">
        <f t="shared" si="4"/>
        <v>63</v>
      </c>
      <c r="K53" s="8">
        <v>3.5</v>
      </c>
      <c r="L53" s="3"/>
      <c r="M53" s="3"/>
      <c r="N53" s="3" t="s">
        <v>882</v>
      </c>
      <c r="O53" s="3"/>
      <c r="P53" s="3"/>
      <c r="Q53" s="3"/>
      <c r="R53" s="3"/>
      <c r="S53" s="3"/>
      <c r="T53" s="3"/>
    </row>
    <row r="54" spans="1:20">
      <c r="A54" s="3">
        <v>53</v>
      </c>
      <c r="B54" s="19" t="s">
        <v>1050</v>
      </c>
      <c r="C54" s="7" t="s">
        <v>329</v>
      </c>
      <c r="D54" s="13" t="s">
        <v>337</v>
      </c>
      <c r="E54" s="12" t="s">
        <v>1051</v>
      </c>
      <c r="F54" s="12" t="s">
        <v>32</v>
      </c>
      <c r="G54" s="5" t="s">
        <v>1052</v>
      </c>
      <c r="H54" s="5" t="s">
        <v>45</v>
      </c>
      <c r="I54" s="18">
        <v>1969</v>
      </c>
      <c r="J54" s="5">
        <f t="shared" si="4"/>
        <v>56</v>
      </c>
      <c r="K54" s="9">
        <v>4.3</v>
      </c>
      <c r="L54" s="5"/>
      <c r="M54" s="5"/>
      <c r="N54" s="5" t="s">
        <v>882</v>
      </c>
      <c r="O54" s="5"/>
      <c r="P54" s="5"/>
      <c r="Q54" s="5"/>
      <c r="R54" s="5"/>
      <c r="S54" s="5"/>
      <c r="T54" s="5"/>
    </row>
    <row r="55" spans="1:20">
      <c r="A55" s="3">
        <v>54</v>
      </c>
      <c r="B55" s="19" t="s">
        <v>1053</v>
      </c>
      <c r="C55" s="13" t="s">
        <v>337</v>
      </c>
      <c r="D55" s="13" t="s">
        <v>342</v>
      </c>
      <c r="E55" s="13" t="s">
        <v>1054</v>
      </c>
      <c r="F55" s="13" t="s">
        <v>32</v>
      </c>
      <c r="G55" s="3" t="s">
        <v>1055</v>
      </c>
      <c r="H55" s="3" t="s">
        <v>34</v>
      </c>
      <c r="I55" s="3">
        <f t="shared" ref="I55:I74" si="5">2025-J55</f>
        <v>1955</v>
      </c>
      <c r="J55" s="3">
        <v>70</v>
      </c>
      <c r="K55" s="3">
        <v>4.5999999999999996</v>
      </c>
      <c r="L55" s="3"/>
      <c r="M55" s="3"/>
      <c r="N55" s="3" t="s">
        <v>882</v>
      </c>
      <c r="O55" s="3"/>
      <c r="P55" s="3"/>
      <c r="Q55" s="3"/>
      <c r="R55" s="3"/>
      <c r="S55" s="3"/>
      <c r="T55" s="3" t="s">
        <v>910</v>
      </c>
    </row>
    <row r="56" spans="1:20">
      <c r="A56" s="24">
        <v>55</v>
      </c>
      <c r="B56" s="25" t="s">
        <v>1056</v>
      </c>
      <c r="C56" s="26" t="s">
        <v>337</v>
      </c>
      <c r="D56" s="26" t="s">
        <v>342</v>
      </c>
      <c r="E56" s="26" t="s">
        <v>1057</v>
      </c>
      <c r="F56" s="26" t="s">
        <v>32</v>
      </c>
      <c r="G56" s="24" t="s">
        <v>1058</v>
      </c>
      <c r="H56" s="24" t="s">
        <v>34</v>
      </c>
      <c r="I56" s="24">
        <f t="shared" si="5"/>
        <v>1972</v>
      </c>
      <c r="J56" s="24">
        <v>53</v>
      </c>
      <c r="K56" s="24">
        <v>3.7</v>
      </c>
      <c r="L56" s="24"/>
      <c r="M56" s="24"/>
      <c r="N56" s="24" t="s">
        <v>882</v>
      </c>
      <c r="O56" s="24"/>
      <c r="P56" s="24"/>
      <c r="Q56" s="24"/>
      <c r="R56" s="24"/>
      <c r="S56" s="24"/>
      <c r="T56" s="24" t="s">
        <v>964</v>
      </c>
    </row>
    <row r="57" spans="1:20">
      <c r="A57" s="3">
        <v>56</v>
      </c>
      <c r="B57" s="19" t="s">
        <v>1059</v>
      </c>
      <c r="C57" s="12" t="s">
        <v>337</v>
      </c>
      <c r="D57" s="12" t="s">
        <v>342</v>
      </c>
      <c r="E57" s="12" t="s">
        <v>1060</v>
      </c>
      <c r="F57" s="12" t="s">
        <v>32</v>
      </c>
      <c r="G57" s="5" t="s">
        <v>1061</v>
      </c>
      <c r="H57" s="5" t="s">
        <v>45</v>
      </c>
      <c r="I57" s="5">
        <f t="shared" si="5"/>
        <v>1962</v>
      </c>
      <c r="J57" s="5">
        <v>63</v>
      </c>
      <c r="K57" s="5">
        <v>4.7</v>
      </c>
      <c r="L57" s="5"/>
      <c r="M57" s="5"/>
      <c r="N57" s="5" t="s">
        <v>882</v>
      </c>
      <c r="O57" s="5"/>
      <c r="P57" s="5"/>
      <c r="Q57" s="5"/>
      <c r="R57" s="5"/>
      <c r="S57" s="5"/>
      <c r="T57" s="5" t="s">
        <v>910</v>
      </c>
    </row>
    <row r="58" spans="1:20">
      <c r="A58" s="3">
        <v>57</v>
      </c>
      <c r="B58" s="19" t="s">
        <v>1062</v>
      </c>
      <c r="C58" s="11" t="s">
        <v>342</v>
      </c>
      <c r="D58" s="4" t="s">
        <v>359</v>
      </c>
      <c r="E58" s="60" t="s">
        <v>1063</v>
      </c>
      <c r="F58" s="60" t="s">
        <v>32</v>
      </c>
      <c r="G58" s="8" t="s">
        <v>1064</v>
      </c>
      <c r="H58" s="3" t="s">
        <v>45</v>
      </c>
      <c r="I58" s="3">
        <f t="shared" si="5"/>
        <v>1945</v>
      </c>
      <c r="J58" s="3">
        <v>80</v>
      </c>
      <c r="K58" s="3">
        <v>3.6</v>
      </c>
      <c r="L58" s="3"/>
      <c r="M58" s="3"/>
      <c r="N58" s="3" t="s">
        <v>882</v>
      </c>
      <c r="O58" s="3"/>
      <c r="P58" s="3"/>
      <c r="Q58" s="3"/>
      <c r="R58" s="3"/>
      <c r="S58" s="3"/>
      <c r="T58" s="3"/>
    </row>
    <row r="59" spans="1:20">
      <c r="A59" s="3">
        <v>58</v>
      </c>
      <c r="B59" s="19" t="s">
        <v>1065</v>
      </c>
      <c r="C59" s="11" t="s">
        <v>342</v>
      </c>
      <c r="D59" s="20" t="s">
        <v>359</v>
      </c>
      <c r="E59" s="66" t="s">
        <v>1066</v>
      </c>
      <c r="F59" s="66" t="s">
        <v>32</v>
      </c>
      <c r="G59" s="9" t="s">
        <v>1067</v>
      </c>
      <c r="H59" s="5" t="s">
        <v>45</v>
      </c>
      <c r="I59" s="5">
        <f t="shared" si="5"/>
        <v>1973</v>
      </c>
      <c r="J59" s="5">
        <v>52</v>
      </c>
      <c r="K59" s="5">
        <v>3.6</v>
      </c>
      <c r="L59" s="5"/>
      <c r="M59" s="5"/>
      <c r="N59" s="5" t="s">
        <v>882</v>
      </c>
      <c r="O59" s="5"/>
      <c r="P59" s="5"/>
      <c r="Q59" s="5"/>
      <c r="R59" s="5"/>
      <c r="S59" s="5"/>
      <c r="T59" s="5" t="s">
        <v>1068</v>
      </c>
    </row>
    <row r="60" spans="1:20">
      <c r="A60" s="3">
        <v>59</v>
      </c>
      <c r="B60" s="19" t="s">
        <v>1069</v>
      </c>
      <c r="C60" s="13" t="s">
        <v>353</v>
      </c>
      <c r="D60" s="4" t="s">
        <v>354</v>
      </c>
      <c r="E60" s="4" t="s">
        <v>1070</v>
      </c>
      <c r="F60" s="4" t="s">
        <v>32</v>
      </c>
      <c r="G60" s="3" t="s">
        <v>1071</v>
      </c>
      <c r="H60" s="3" t="s">
        <v>34</v>
      </c>
      <c r="I60" s="5">
        <f t="shared" si="5"/>
        <v>1981</v>
      </c>
      <c r="J60" s="3">
        <v>44</v>
      </c>
      <c r="K60" s="3">
        <v>3.7</v>
      </c>
      <c r="L60" s="3"/>
      <c r="M60" s="19"/>
      <c r="N60" s="3" t="s">
        <v>882</v>
      </c>
      <c r="O60" s="8"/>
      <c r="P60" s="3"/>
      <c r="Q60" s="3"/>
      <c r="R60" s="3"/>
      <c r="S60" s="3"/>
      <c r="T60" s="3" t="s">
        <v>910</v>
      </c>
    </row>
    <row r="61" spans="1:20">
      <c r="A61" s="40">
        <v>60</v>
      </c>
      <c r="B61" s="44" t="s">
        <v>1072</v>
      </c>
      <c r="C61" s="41" t="s">
        <v>353</v>
      </c>
      <c r="D61" s="54" t="s">
        <v>354</v>
      </c>
      <c r="E61" s="54" t="s">
        <v>1073</v>
      </c>
      <c r="F61" s="54" t="s">
        <v>241</v>
      </c>
      <c r="G61" s="40" t="s">
        <v>1074</v>
      </c>
      <c r="H61" s="40" t="s">
        <v>34</v>
      </c>
      <c r="I61" s="46">
        <v>1977</v>
      </c>
      <c r="J61" s="40">
        <f>2025-I61</f>
        <v>48</v>
      </c>
      <c r="K61" s="40">
        <v>4.3</v>
      </c>
      <c r="L61" s="40"/>
      <c r="M61" s="40"/>
      <c r="N61" s="59" t="s">
        <v>882</v>
      </c>
      <c r="O61" s="40"/>
      <c r="P61" s="40"/>
      <c r="Q61" s="40"/>
      <c r="R61" s="40"/>
      <c r="S61" s="40"/>
      <c r="T61" s="40" t="s">
        <v>244</v>
      </c>
    </row>
    <row r="62" spans="1:20">
      <c r="A62" s="29">
        <v>61</v>
      </c>
      <c r="B62" s="30" t="s">
        <v>1075</v>
      </c>
      <c r="C62" s="31" t="s">
        <v>353</v>
      </c>
      <c r="D62" s="32" t="s">
        <v>354</v>
      </c>
      <c r="E62" s="32"/>
      <c r="F62" s="32"/>
      <c r="G62" s="29" t="s">
        <v>1076</v>
      </c>
      <c r="H62" s="29" t="s">
        <v>34</v>
      </c>
      <c r="I62" s="29">
        <v>1958</v>
      </c>
      <c r="J62" s="29">
        <f>2025-I62</f>
        <v>67</v>
      </c>
      <c r="K62" s="29" t="s">
        <v>38</v>
      </c>
      <c r="L62" s="29"/>
      <c r="M62" s="29"/>
      <c r="N62" s="29"/>
      <c r="O62" s="29"/>
      <c r="P62" s="29"/>
      <c r="Q62" s="29"/>
      <c r="R62" s="29"/>
      <c r="S62" s="29"/>
      <c r="T62" s="29" t="s">
        <v>1077</v>
      </c>
    </row>
    <row r="63" spans="1:20">
      <c r="A63" s="3">
        <v>62</v>
      </c>
      <c r="B63" s="3" t="s">
        <v>1078</v>
      </c>
      <c r="C63" s="3" t="s">
        <v>354</v>
      </c>
      <c r="D63" s="20" t="s">
        <v>359</v>
      </c>
      <c r="E63" s="20" t="s">
        <v>1079</v>
      </c>
      <c r="F63" s="20" t="s">
        <v>32</v>
      </c>
      <c r="G63" s="3" t="s">
        <v>1080</v>
      </c>
      <c r="H63" s="3" t="s">
        <v>34</v>
      </c>
      <c r="I63" s="3">
        <f t="shared" si="5"/>
        <v>1954</v>
      </c>
      <c r="J63" s="3">
        <v>71</v>
      </c>
      <c r="K63" s="3">
        <v>4.8</v>
      </c>
      <c r="L63" s="3"/>
      <c r="M63" s="3"/>
      <c r="N63" s="3" t="s">
        <v>882</v>
      </c>
      <c r="O63" s="3"/>
      <c r="P63" s="3"/>
      <c r="Q63" s="3"/>
      <c r="R63" s="3"/>
      <c r="S63" s="3"/>
      <c r="T63" s="3" t="s">
        <v>1081</v>
      </c>
    </row>
    <row r="64" spans="1:20">
      <c r="A64" s="114">
        <v>63</v>
      </c>
      <c r="B64" s="114" t="s">
        <v>1082</v>
      </c>
      <c r="C64" s="120" t="s">
        <v>354</v>
      </c>
      <c r="D64" s="136" t="s">
        <v>359</v>
      </c>
      <c r="E64" s="156" t="s">
        <v>1083</v>
      </c>
      <c r="F64" s="156" t="s">
        <v>32</v>
      </c>
      <c r="G64" s="115" t="s">
        <v>1084</v>
      </c>
      <c r="H64" s="110" t="s">
        <v>34</v>
      </c>
      <c r="I64" s="110">
        <f t="shared" si="5"/>
        <v>1970</v>
      </c>
      <c r="J64" s="110">
        <v>55</v>
      </c>
      <c r="K64" s="110">
        <v>4.5</v>
      </c>
      <c r="L64" s="110"/>
      <c r="M64" s="110"/>
      <c r="N64" s="110" t="s">
        <v>1085</v>
      </c>
      <c r="O64" s="110"/>
      <c r="P64" s="110"/>
      <c r="Q64" s="110"/>
      <c r="R64" s="110"/>
      <c r="S64" s="110"/>
      <c r="T64" s="114" t="s">
        <v>1086</v>
      </c>
    </row>
    <row r="65" spans="1:20">
      <c r="A65" s="3">
        <v>64</v>
      </c>
      <c r="B65" s="3" t="s">
        <v>1087</v>
      </c>
      <c r="C65" s="11" t="s">
        <v>359</v>
      </c>
      <c r="D65" s="4" t="s">
        <v>367</v>
      </c>
      <c r="E65" s="4" t="s">
        <v>1088</v>
      </c>
      <c r="F65" s="4" t="s">
        <v>32</v>
      </c>
      <c r="G65" s="3" t="s">
        <v>1089</v>
      </c>
      <c r="H65" s="5" t="s">
        <v>34</v>
      </c>
      <c r="I65" s="5">
        <f t="shared" si="5"/>
        <v>1964</v>
      </c>
      <c r="J65" s="5">
        <v>61</v>
      </c>
      <c r="K65" s="3">
        <v>4.4000000000000004</v>
      </c>
      <c r="L65" s="3"/>
      <c r="M65" s="3"/>
      <c r="N65" s="3" t="s">
        <v>882</v>
      </c>
      <c r="O65" s="3"/>
      <c r="P65" s="3"/>
      <c r="Q65" s="3"/>
      <c r="R65" s="3"/>
      <c r="S65" s="3"/>
      <c r="T65" s="3"/>
    </row>
    <row r="66" spans="1:20">
      <c r="A66" s="3">
        <v>65</v>
      </c>
      <c r="B66" s="3" t="s">
        <v>1090</v>
      </c>
      <c r="C66" s="11" t="s">
        <v>359</v>
      </c>
      <c r="D66" s="4" t="s">
        <v>367</v>
      </c>
      <c r="E66" s="58" t="s">
        <v>1091</v>
      </c>
      <c r="F66" s="58" t="s">
        <v>32</v>
      </c>
      <c r="G66" s="18" t="s">
        <v>1092</v>
      </c>
      <c r="H66" s="5" t="s">
        <v>45</v>
      </c>
      <c r="I66" s="5">
        <f t="shared" si="5"/>
        <v>1961</v>
      </c>
      <c r="J66" s="5">
        <v>64</v>
      </c>
      <c r="K66" s="9">
        <v>4.5999999999999996</v>
      </c>
      <c r="L66" s="3"/>
      <c r="M66" s="3"/>
      <c r="N66" s="3" t="s">
        <v>882</v>
      </c>
      <c r="O66" s="3"/>
      <c r="P66" s="3"/>
      <c r="Q66" s="3"/>
      <c r="R66" s="3"/>
      <c r="S66" s="3"/>
      <c r="T66" s="3"/>
    </row>
    <row r="67" spans="1:20">
      <c r="A67" s="3">
        <v>66</v>
      </c>
      <c r="B67" s="3" t="s">
        <v>1093</v>
      </c>
      <c r="C67" s="11" t="s">
        <v>359</v>
      </c>
      <c r="D67" s="11" t="s">
        <v>367</v>
      </c>
      <c r="E67" s="11" t="s">
        <v>1094</v>
      </c>
      <c r="F67" s="11" t="s">
        <v>32</v>
      </c>
      <c r="G67" s="3" t="s">
        <v>1095</v>
      </c>
      <c r="H67" s="3" t="s">
        <v>34</v>
      </c>
      <c r="I67" s="3">
        <f t="shared" si="5"/>
        <v>1961</v>
      </c>
      <c r="J67" s="3">
        <v>64</v>
      </c>
      <c r="K67" s="3">
        <v>3.8</v>
      </c>
      <c r="L67" s="8"/>
      <c r="M67" s="3"/>
      <c r="N67" s="3" t="s">
        <v>882</v>
      </c>
      <c r="O67" s="3"/>
      <c r="P67" s="3"/>
      <c r="Q67" s="3"/>
      <c r="R67" s="3"/>
      <c r="S67" s="3"/>
      <c r="T67" s="3"/>
    </row>
    <row r="68" spans="1:20">
      <c r="A68" s="3">
        <v>67</v>
      </c>
      <c r="B68" s="3" t="s">
        <v>1096</v>
      </c>
      <c r="C68" s="58" t="s">
        <v>359</v>
      </c>
      <c r="D68" s="58" t="s">
        <v>367</v>
      </c>
      <c r="E68" s="58" t="s">
        <v>1097</v>
      </c>
      <c r="F68" s="58" t="s">
        <v>32</v>
      </c>
      <c r="G68" s="5" t="s">
        <v>1098</v>
      </c>
      <c r="H68" s="5" t="s">
        <v>45</v>
      </c>
      <c r="I68" s="5">
        <f t="shared" si="5"/>
        <v>1968</v>
      </c>
      <c r="J68" s="5">
        <v>57</v>
      </c>
      <c r="K68" s="5">
        <v>5.0999999999999996</v>
      </c>
      <c r="L68" s="9"/>
      <c r="M68" s="5"/>
      <c r="N68" s="5" t="s">
        <v>882</v>
      </c>
      <c r="O68" s="5"/>
      <c r="P68" s="5"/>
      <c r="Q68" s="5"/>
      <c r="R68" s="5"/>
      <c r="S68" s="5"/>
      <c r="T68" s="5"/>
    </row>
    <row r="69" spans="1:20">
      <c r="A69" s="3">
        <v>68</v>
      </c>
      <c r="B69" s="19" t="s">
        <v>1099</v>
      </c>
      <c r="C69" s="19" t="s">
        <v>367</v>
      </c>
      <c r="D69" s="3" t="s">
        <v>385</v>
      </c>
      <c r="E69" s="3" t="s">
        <v>1100</v>
      </c>
      <c r="F69" s="3" t="s">
        <v>32</v>
      </c>
      <c r="G69" s="3" t="s">
        <v>1101</v>
      </c>
      <c r="H69" s="3" t="s">
        <v>34</v>
      </c>
      <c r="I69" s="3">
        <f t="shared" si="5"/>
        <v>1965</v>
      </c>
      <c r="J69" s="3">
        <v>60</v>
      </c>
      <c r="K69" s="3">
        <v>4.4000000000000004</v>
      </c>
      <c r="L69" s="3"/>
      <c r="M69" s="3"/>
      <c r="N69" s="3" t="s">
        <v>882</v>
      </c>
      <c r="O69" s="3"/>
      <c r="P69" s="3"/>
      <c r="Q69" s="3"/>
      <c r="R69" s="3"/>
      <c r="S69" s="3"/>
      <c r="T69" s="3"/>
    </row>
    <row r="70" spans="1:20">
      <c r="A70" s="3">
        <v>69</v>
      </c>
      <c r="B70" s="19" t="s">
        <v>1102</v>
      </c>
      <c r="C70" s="18" t="s">
        <v>367</v>
      </c>
      <c r="D70" s="3" t="s">
        <v>385</v>
      </c>
      <c r="E70" s="3" t="s">
        <v>1103</v>
      </c>
      <c r="F70" s="3" t="s">
        <v>32</v>
      </c>
      <c r="G70" s="3" t="s">
        <v>1104</v>
      </c>
      <c r="H70" s="3" t="s">
        <v>34</v>
      </c>
      <c r="I70" s="3">
        <f t="shared" si="5"/>
        <v>1974</v>
      </c>
      <c r="J70" s="3">
        <v>51</v>
      </c>
      <c r="K70" s="3">
        <v>4.3</v>
      </c>
      <c r="L70" s="3"/>
      <c r="M70" s="3"/>
      <c r="N70" s="3" t="s">
        <v>882</v>
      </c>
      <c r="O70" s="3"/>
      <c r="P70" s="3"/>
      <c r="Q70" s="3"/>
      <c r="R70" s="3"/>
      <c r="S70" s="3"/>
      <c r="T70" s="3"/>
    </row>
    <row r="71" spans="1:20">
      <c r="A71" s="3">
        <v>70</v>
      </c>
      <c r="B71" s="19" t="s">
        <v>1105</v>
      </c>
      <c r="C71" s="18" t="s">
        <v>385</v>
      </c>
      <c r="D71" s="3" t="s">
        <v>396</v>
      </c>
      <c r="E71" s="3" t="s">
        <v>1106</v>
      </c>
      <c r="F71" s="3" t="s">
        <v>32</v>
      </c>
      <c r="G71" s="3" t="s">
        <v>1107</v>
      </c>
      <c r="H71" s="3" t="s">
        <v>34</v>
      </c>
      <c r="I71" s="3">
        <f t="shared" si="5"/>
        <v>1961</v>
      </c>
      <c r="J71" s="3">
        <v>64</v>
      </c>
      <c r="K71" s="3">
        <v>4.5</v>
      </c>
      <c r="L71" s="3"/>
      <c r="M71" s="3"/>
      <c r="N71" s="3" t="s">
        <v>882</v>
      </c>
      <c r="O71" s="3"/>
      <c r="P71" s="3"/>
      <c r="Q71" s="3"/>
      <c r="R71" s="3"/>
      <c r="S71" s="3"/>
      <c r="T71" s="3"/>
    </row>
    <row r="72" spans="1:20">
      <c r="A72" s="5">
        <v>71</v>
      </c>
      <c r="B72" s="18" t="s">
        <v>1108</v>
      </c>
      <c r="C72" s="19" t="s">
        <v>385</v>
      </c>
      <c r="D72" s="3" t="s">
        <v>396</v>
      </c>
      <c r="E72" s="3" t="s">
        <v>1109</v>
      </c>
      <c r="F72" s="3" t="s">
        <v>32</v>
      </c>
      <c r="G72" s="3" t="s">
        <v>1110</v>
      </c>
      <c r="H72" s="3" t="s">
        <v>45</v>
      </c>
      <c r="I72" s="3">
        <f t="shared" si="5"/>
        <v>1957</v>
      </c>
      <c r="J72" s="3">
        <v>68</v>
      </c>
      <c r="K72" s="3">
        <v>4.9000000000000004</v>
      </c>
      <c r="L72" s="3"/>
      <c r="M72" s="3"/>
      <c r="N72" s="3" t="s">
        <v>882</v>
      </c>
      <c r="O72" s="3"/>
      <c r="P72" s="3"/>
      <c r="Q72" s="3"/>
      <c r="R72" s="3"/>
      <c r="S72" s="3"/>
      <c r="T72" s="3"/>
    </row>
    <row r="73" spans="1:20">
      <c r="A73" s="3">
        <v>72</v>
      </c>
      <c r="B73" s="19" t="s">
        <v>1111</v>
      </c>
      <c r="C73" s="19" t="s">
        <v>405</v>
      </c>
      <c r="D73" s="3" t="s">
        <v>406</v>
      </c>
      <c r="E73" s="3" t="s">
        <v>1112</v>
      </c>
      <c r="F73" s="3" t="s">
        <v>32</v>
      </c>
      <c r="G73" s="3" t="s">
        <v>1113</v>
      </c>
      <c r="H73" s="3" t="s">
        <v>34</v>
      </c>
      <c r="I73" s="3">
        <f t="shared" si="5"/>
        <v>1960</v>
      </c>
      <c r="J73" s="3">
        <v>65</v>
      </c>
      <c r="K73" s="3">
        <v>4.5</v>
      </c>
      <c r="L73" s="3"/>
      <c r="M73" s="3"/>
      <c r="N73" s="3" t="s">
        <v>882</v>
      </c>
      <c r="O73" s="3"/>
      <c r="P73" s="3"/>
      <c r="Q73" s="3"/>
      <c r="R73" s="3"/>
      <c r="S73" s="3"/>
      <c r="T73" s="3"/>
    </row>
    <row r="74" spans="1:20">
      <c r="A74" s="3">
        <v>73</v>
      </c>
      <c r="B74" s="19" t="s">
        <v>1114</v>
      </c>
      <c r="C74" s="12" t="s">
        <v>1115</v>
      </c>
      <c r="D74" s="4" t="s">
        <v>414</v>
      </c>
      <c r="E74" s="3" t="s">
        <v>1116</v>
      </c>
      <c r="F74" s="3" t="s">
        <v>32</v>
      </c>
      <c r="G74" s="3" t="s">
        <v>1117</v>
      </c>
      <c r="H74" s="3" t="s">
        <v>45</v>
      </c>
      <c r="I74" s="3">
        <f t="shared" si="5"/>
        <v>1953</v>
      </c>
      <c r="J74" s="3">
        <v>72</v>
      </c>
      <c r="K74" s="3" t="s">
        <v>421</v>
      </c>
      <c r="L74" s="3"/>
      <c r="M74" s="3"/>
      <c r="N74" s="3" t="s">
        <v>882</v>
      </c>
      <c r="O74" s="3"/>
      <c r="P74" s="3"/>
      <c r="Q74" s="3"/>
      <c r="R74" s="3"/>
      <c r="S74" s="3"/>
      <c r="T74" s="3"/>
    </row>
    <row r="75" spans="1:20">
      <c r="A75" s="3">
        <v>74</v>
      </c>
      <c r="B75" s="18" t="s">
        <v>1118</v>
      </c>
      <c r="C75" s="58" t="s">
        <v>423</v>
      </c>
      <c r="D75" s="20" t="s">
        <v>424</v>
      </c>
      <c r="E75" s="5" t="s">
        <v>1119</v>
      </c>
      <c r="F75" s="5" t="s">
        <v>32</v>
      </c>
      <c r="G75" s="5" t="s">
        <v>1120</v>
      </c>
      <c r="H75" s="5" t="s">
        <v>45</v>
      </c>
      <c r="I75" s="5">
        <f>2025-J75</f>
        <v>1954</v>
      </c>
      <c r="J75" s="5">
        <v>71</v>
      </c>
      <c r="K75" s="5">
        <v>5</v>
      </c>
      <c r="L75" s="5"/>
      <c r="M75" s="5"/>
      <c r="N75" s="5" t="s">
        <v>882</v>
      </c>
      <c r="O75" s="5"/>
      <c r="P75" s="5"/>
      <c r="Q75" s="5"/>
      <c r="R75" s="5"/>
      <c r="S75" s="5"/>
      <c r="T75" s="5"/>
    </row>
    <row r="76" spans="1:20">
      <c r="A76" s="19">
        <v>75</v>
      </c>
      <c r="B76" s="3" t="s">
        <v>1121</v>
      </c>
      <c r="C76" s="4" t="s">
        <v>424</v>
      </c>
      <c r="D76" s="4" t="s">
        <v>448</v>
      </c>
      <c r="E76" s="3" t="s">
        <v>1122</v>
      </c>
      <c r="F76" s="3" t="s">
        <v>32</v>
      </c>
      <c r="G76" s="3" t="s">
        <v>1123</v>
      </c>
      <c r="H76" s="3" t="s">
        <v>173</v>
      </c>
      <c r="I76" s="3">
        <f>2025-J76</f>
        <v>1947</v>
      </c>
      <c r="J76" s="3">
        <v>78</v>
      </c>
      <c r="K76" s="3">
        <v>4.7</v>
      </c>
      <c r="L76" s="3"/>
      <c r="M76" s="3"/>
      <c r="N76" s="3" t="s">
        <v>882</v>
      </c>
      <c r="O76" s="3"/>
      <c r="P76" s="3"/>
      <c r="Q76" s="3"/>
      <c r="R76" s="3"/>
      <c r="S76" s="3"/>
      <c r="T76" s="3"/>
    </row>
    <row r="77" spans="1:20">
      <c r="A77" s="19">
        <v>76</v>
      </c>
      <c r="B77" s="3" t="s">
        <v>1124</v>
      </c>
      <c r="C77" s="3" t="s">
        <v>458</v>
      </c>
      <c r="D77" s="3" t="s">
        <v>1125</v>
      </c>
      <c r="E77" s="3" t="s">
        <v>1126</v>
      </c>
      <c r="F77" s="3" t="s">
        <v>32</v>
      </c>
      <c r="G77" s="3" t="s">
        <v>1127</v>
      </c>
      <c r="H77" s="3" t="s">
        <v>34</v>
      </c>
      <c r="I77" s="3">
        <f>2025-J77</f>
        <v>1940</v>
      </c>
      <c r="J77" s="3">
        <v>85</v>
      </c>
      <c r="K77" s="3" t="s">
        <v>1128</v>
      </c>
      <c r="L77" s="3"/>
      <c r="M77" s="3"/>
      <c r="N77" s="3" t="s">
        <v>882</v>
      </c>
      <c r="O77" s="3"/>
      <c r="P77" s="3"/>
      <c r="Q77" s="3"/>
      <c r="R77" s="3"/>
      <c r="S77" s="3"/>
      <c r="T77" s="3" t="s">
        <v>1129</v>
      </c>
    </row>
    <row r="78" spans="1:20">
      <c r="A78" s="19">
        <v>77</v>
      </c>
      <c r="B78" s="3" t="s">
        <v>1130</v>
      </c>
      <c r="C78" s="5" t="s">
        <v>719</v>
      </c>
      <c r="D78" s="3" t="s">
        <v>471</v>
      </c>
      <c r="E78" s="5" t="s">
        <v>1131</v>
      </c>
      <c r="F78" s="5" t="s">
        <v>32</v>
      </c>
      <c r="G78" s="5" t="s">
        <v>1132</v>
      </c>
      <c r="H78" s="5" t="s">
        <v>712</v>
      </c>
      <c r="I78" s="5">
        <f>2025-J78</f>
        <v>1978</v>
      </c>
      <c r="J78" s="5">
        <v>47</v>
      </c>
      <c r="K78" s="5">
        <v>3.4</v>
      </c>
      <c r="L78" s="5"/>
      <c r="M78" s="74"/>
      <c r="N78" s="5" t="s">
        <v>882</v>
      </c>
      <c r="O78" s="5"/>
      <c r="P78" s="5"/>
      <c r="Q78" s="5"/>
      <c r="R78" s="5"/>
      <c r="S78" s="5"/>
      <c r="T78" s="5"/>
    </row>
    <row r="79" spans="1:20">
      <c r="A79" s="19">
        <v>78</v>
      </c>
      <c r="B79" s="19" t="s">
        <v>1133</v>
      </c>
      <c r="C79" s="3" t="s">
        <v>719</v>
      </c>
      <c r="D79" s="3" t="s">
        <v>471</v>
      </c>
      <c r="E79" s="3" t="s">
        <v>1134</v>
      </c>
      <c r="F79" s="3" t="s">
        <v>32</v>
      </c>
      <c r="G79" s="3" t="s">
        <v>1135</v>
      </c>
      <c r="H79" s="3" t="s">
        <v>712</v>
      </c>
      <c r="I79" s="3">
        <f>2025-J79</f>
        <v>1967</v>
      </c>
      <c r="J79" s="3">
        <v>58</v>
      </c>
      <c r="K79" s="3">
        <v>3</v>
      </c>
      <c r="L79" s="3"/>
      <c r="M79" s="73"/>
      <c r="N79" s="3" t="s">
        <v>882</v>
      </c>
      <c r="O79" s="3"/>
      <c r="P79" s="3"/>
      <c r="Q79" s="3"/>
      <c r="R79" s="3"/>
      <c r="S79" s="3"/>
      <c r="T79" s="3" t="s">
        <v>1136</v>
      </c>
    </row>
    <row r="80" spans="1:20">
      <c r="A80" s="19">
        <v>79</v>
      </c>
      <c r="B80" s="19" t="s">
        <v>1137</v>
      </c>
      <c r="C80" s="3" t="s">
        <v>719</v>
      </c>
      <c r="D80" s="3" t="s">
        <v>471</v>
      </c>
      <c r="E80" s="3" t="s">
        <v>1138</v>
      </c>
      <c r="F80" s="3" t="s">
        <v>32</v>
      </c>
      <c r="G80" s="3" t="s">
        <v>805</v>
      </c>
      <c r="H80" s="3" t="s">
        <v>45</v>
      </c>
      <c r="J80" s="3">
        <v>56</v>
      </c>
      <c r="K80" s="3">
        <v>4.5</v>
      </c>
      <c r="L80" s="3"/>
      <c r="M80" s="73"/>
      <c r="N80" s="3" t="s">
        <v>882</v>
      </c>
      <c r="O80" s="3"/>
      <c r="P80" s="3"/>
      <c r="Q80" s="3"/>
      <c r="R80" s="3"/>
      <c r="S80" s="3"/>
      <c r="T80" s="3"/>
    </row>
    <row r="81" spans="1:20">
      <c r="A81" s="40">
        <v>80</v>
      </c>
      <c r="B81" s="44" t="s">
        <v>1139</v>
      </c>
      <c r="C81" s="47" t="s">
        <v>719</v>
      </c>
      <c r="D81" s="45" t="s">
        <v>471</v>
      </c>
      <c r="E81" s="45" t="s">
        <v>1140</v>
      </c>
      <c r="F81" s="45" t="s">
        <v>32</v>
      </c>
      <c r="G81" s="46" t="s">
        <v>1141</v>
      </c>
      <c r="H81" s="46" t="s">
        <v>45</v>
      </c>
      <c r="I81" s="46">
        <f>2025-J81</f>
        <v>1975</v>
      </c>
      <c r="J81" s="46">
        <v>50</v>
      </c>
      <c r="K81" s="46">
        <v>4.9000000000000004</v>
      </c>
      <c r="L81" s="46"/>
      <c r="M81" s="46"/>
      <c r="N81" s="144" t="s">
        <v>882</v>
      </c>
      <c r="O81" s="46"/>
      <c r="P81" s="46"/>
      <c r="Q81" s="46"/>
      <c r="R81" s="46"/>
      <c r="S81" s="46"/>
      <c r="T81" s="46" t="s">
        <v>244</v>
      </c>
    </row>
    <row r="82" spans="1:20">
      <c r="A82" s="19">
        <v>81</v>
      </c>
      <c r="B82" s="19" t="s">
        <v>1142</v>
      </c>
      <c r="C82" s="3" t="s">
        <v>720</v>
      </c>
      <c r="D82" s="3" t="s">
        <v>471</v>
      </c>
      <c r="E82" s="3" t="s">
        <v>1143</v>
      </c>
      <c r="F82" s="3" t="s">
        <v>32</v>
      </c>
      <c r="G82" s="3" t="s">
        <v>1144</v>
      </c>
      <c r="H82" s="3" t="s">
        <v>173</v>
      </c>
      <c r="I82" s="3">
        <f>2025-J82</f>
        <v>1972</v>
      </c>
      <c r="J82" s="3">
        <v>53</v>
      </c>
      <c r="K82" s="3">
        <v>4.7</v>
      </c>
      <c r="L82" s="3"/>
      <c r="M82" s="3"/>
      <c r="N82" s="3" t="s">
        <v>882</v>
      </c>
      <c r="O82" s="3"/>
      <c r="P82" s="3"/>
      <c r="Q82" s="3"/>
      <c r="R82" s="3"/>
      <c r="S82" s="3"/>
      <c r="T82" s="3"/>
    </row>
    <row r="83" spans="1:20">
      <c r="A83" s="18">
        <v>82</v>
      </c>
      <c r="B83" s="18" t="s">
        <v>1145</v>
      </c>
      <c r="C83" s="5" t="s">
        <v>724</v>
      </c>
      <c r="D83" s="5" t="s">
        <v>728</v>
      </c>
      <c r="E83" s="5" t="s">
        <v>1146</v>
      </c>
      <c r="F83" s="5" t="s">
        <v>32</v>
      </c>
      <c r="G83" s="5" t="s">
        <v>1147</v>
      </c>
      <c r="H83" s="5" t="s">
        <v>173</v>
      </c>
      <c r="I83" s="5">
        <v>1957</v>
      </c>
      <c r="J83" s="5">
        <v>68</v>
      </c>
      <c r="K83" s="5">
        <v>4.4000000000000004</v>
      </c>
      <c r="L83" s="5"/>
      <c r="M83" s="5"/>
      <c r="N83" s="5" t="s">
        <v>882</v>
      </c>
      <c r="O83" s="5"/>
      <c r="P83" s="5"/>
      <c r="Q83" s="5"/>
      <c r="R83" s="5"/>
      <c r="S83" s="5"/>
      <c r="T83" s="5"/>
    </row>
    <row r="84" spans="1:20">
      <c r="A84" s="3">
        <v>83</v>
      </c>
      <c r="B84" s="3" t="s">
        <v>1148</v>
      </c>
      <c r="C84" s="3" t="s">
        <v>728</v>
      </c>
      <c r="D84" s="3" t="s">
        <v>1149</v>
      </c>
      <c r="E84" s="3" t="s">
        <v>1150</v>
      </c>
      <c r="F84" s="3" t="s">
        <v>32</v>
      </c>
      <c r="G84" s="3" t="s">
        <v>1151</v>
      </c>
      <c r="H84" s="3" t="s">
        <v>712</v>
      </c>
      <c r="I84" s="3">
        <v>1952</v>
      </c>
      <c r="J84" s="3">
        <v>73</v>
      </c>
      <c r="K84" s="3">
        <v>4.0999999999999996</v>
      </c>
      <c r="L84" s="3"/>
      <c r="M84" s="3"/>
      <c r="N84" s="3" t="s">
        <v>882</v>
      </c>
      <c r="O84" s="3"/>
      <c r="P84" s="3"/>
      <c r="Q84" s="3"/>
      <c r="R84" s="3"/>
      <c r="S84" s="3"/>
      <c r="T84" s="3"/>
    </row>
    <row r="85" spans="1:20">
      <c r="A85" s="3">
        <v>84</v>
      </c>
      <c r="B85" s="3" t="s">
        <v>1152</v>
      </c>
      <c r="C85" s="5" t="s">
        <v>728</v>
      </c>
      <c r="D85" s="5" t="s">
        <v>1149</v>
      </c>
      <c r="E85" s="5" t="s">
        <v>1153</v>
      </c>
      <c r="F85" s="5" t="s">
        <v>32</v>
      </c>
      <c r="G85" s="5" t="s">
        <v>1154</v>
      </c>
      <c r="H85" s="5" t="s">
        <v>173</v>
      </c>
      <c r="I85" s="5">
        <v>1954</v>
      </c>
      <c r="J85" s="5">
        <v>71</v>
      </c>
      <c r="K85" s="5">
        <v>4</v>
      </c>
      <c r="L85" s="5"/>
      <c r="M85" s="5"/>
      <c r="N85" s="5" t="s">
        <v>882</v>
      </c>
      <c r="O85" s="5"/>
      <c r="P85" s="5"/>
      <c r="Q85" s="5"/>
      <c r="R85" s="5"/>
      <c r="S85" s="5"/>
      <c r="T85" s="5" t="s">
        <v>1155</v>
      </c>
    </row>
    <row r="86" spans="1:20">
      <c r="A86" s="3">
        <v>85</v>
      </c>
      <c r="B86" s="19" t="s">
        <v>1156</v>
      </c>
      <c r="C86" s="3" t="s">
        <v>728</v>
      </c>
      <c r="D86" s="3" t="s">
        <v>1149</v>
      </c>
      <c r="E86" s="3" t="s">
        <v>1157</v>
      </c>
      <c r="F86" s="3" t="s">
        <v>32</v>
      </c>
      <c r="G86" s="3" t="s">
        <v>1158</v>
      </c>
      <c r="H86" s="3" t="s">
        <v>712</v>
      </c>
      <c r="I86" s="3">
        <v>1984</v>
      </c>
      <c r="J86" s="3">
        <v>41</v>
      </c>
      <c r="K86" s="3">
        <v>3.3</v>
      </c>
      <c r="L86" s="3"/>
      <c r="M86" s="3"/>
      <c r="N86" s="3" t="s">
        <v>882</v>
      </c>
      <c r="O86" s="3"/>
      <c r="P86" s="3"/>
      <c r="Q86" s="3"/>
      <c r="R86" s="3"/>
      <c r="S86" s="3"/>
      <c r="T86" s="3" t="s">
        <v>549</v>
      </c>
    </row>
    <row r="87" spans="1:20">
      <c r="A87" s="3">
        <v>86</v>
      </c>
      <c r="B87" s="19" t="s">
        <v>1159</v>
      </c>
      <c r="C87" s="3" t="s">
        <v>728</v>
      </c>
      <c r="D87" s="3" t="s">
        <v>1149</v>
      </c>
      <c r="E87" s="3" t="s">
        <v>1160</v>
      </c>
      <c r="F87" s="3" t="s">
        <v>32</v>
      </c>
      <c r="G87" s="3" t="s">
        <v>1161</v>
      </c>
      <c r="H87" s="3" t="s">
        <v>173</v>
      </c>
      <c r="I87" s="3">
        <v>1960</v>
      </c>
      <c r="J87" s="3">
        <v>65</v>
      </c>
      <c r="K87" s="3">
        <v>4</v>
      </c>
      <c r="L87" s="3"/>
      <c r="M87" s="3"/>
      <c r="N87" s="3" t="s">
        <v>882</v>
      </c>
      <c r="O87" s="3"/>
      <c r="P87" s="3"/>
      <c r="Q87" s="3"/>
      <c r="R87" s="3"/>
      <c r="S87" s="3"/>
      <c r="T87" s="3"/>
    </row>
    <row r="88" spans="1:20">
      <c r="A88" s="3">
        <v>87</v>
      </c>
      <c r="B88" s="19" t="s">
        <v>1162</v>
      </c>
      <c r="C88" s="3" t="s">
        <v>1149</v>
      </c>
      <c r="D88" s="3" t="s">
        <v>732</v>
      </c>
      <c r="E88" s="3" t="s">
        <v>1163</v>
      </c>
      <c r="F88" s="3" t="s">
        <v>32</v>
      </c>
      <c r="G88" s="3" t="s">
        <v>1164</v>
      </c>
      <c r="H88" s="3" t="s">
        <v>712</v>
      </c>
      <c r="I88" s="3">
        <v>1976</v>
      </c>
      <c r="J88" s="3">
        <v>49</v>
      </c>
      <c r="K88" s="3">
        <v>4</v>
      </c>
      <c r="L88" s="3"/>
      <c r="M88" s="3"/>
      <c r="N88" s="3" t="s">
        <v>882</v>
      </c>
      <c r="O88" s="3"/>
      <c r="P88" s="3"/>
      <c r="Q88" s="3"/>
      <c r="R88" s="3"/>
      <c r="S88" s="3"/>
      <c r="T88" s="3"/>
    </row>
    <row r="89" spans="1:20">
      <c r="A89" s="3">
        <v>88</v>
      </c>
      <c r="B89" s="19" t="s">
        <v>1165</v>
      </c>
      <c r="C89" s="3" t="s">
        <v>1149</v>
      </c>
      <c r="D89" s="3" t="s">
        <v>732</v>
      </c>
      <c r="E89" s="3" t="s">
        <v>1166</v>
      </c>
      <c r="F89" s="3" t="s">
        <v>32</v>
      </c>
      <c r="G89" s="3" t="s">
        <v>1167</v>
      </c>
      <c r="H89" s="3" t="s">
        <v>173</v>
      </c>
      <c r="I89" s="3">
        <v>1965</v>
      </c>
      <c r="J89" s="3">
        <v>60</v>
      </c>
      <c r="K89" s="3">
        <v>4.3</v>
      </c>
      <c r="L89" s="3"/>
      <c r="M89" s="3"/>
      <c r="N89" s="3" t="s">
        <v>882</v>
      </c>
      <c r="O89" s="3"/>
      <c r="P89" s="3"/>
      <c r="Q89" s="3"/>
      <c r="R89" s="3"/>
      <c r="S89" s="3"/>
      <c r="T89" s="3"/>
    </row>
    <row r="90" spans="1:20">
      <c r="A90" s="3">
        <v>89</v>
      </c>
      <c r="B90" s="19" t="s">
        <v>1168</v>
      </c>
      <c r="C90" s="3" t="s">
        <v>732</v>
      </c>
      <c r="D90" s="4" t="s">
        <v>733</v>
      </c>
      <c r="E90" s="3" t="s">
        <v>1169</v>
      </c>
      <c r="F90" s="3" t="s">
        <v>32</v>
      </c>
      <c r="G90" s="3" t="s">
        <v>1170</v>
      </c>
      <c r="H90" s="3" t="s">
        <v>173</v>
      </c>
      <c r="I90" s="3">
        <v>1969</v>
      </c>
      <c r="J90" s="3">
        <v>64</v>
      </c>
      <c r="K90" s="3">
        <v>4.4000000000000004</v>
      </c>
      <c r="L90" s="3"/>
      <c r="M90" s="3"/>
      <c r="N90" s="3" t="s">
        <v>882</v>
      </c>
      <c r="O90" s="3"/>
      <c r="P90" s="3"/>
      <c r="Q90" s="3"/>
      <c r="R90" s="3"/>
      <c r="S90" s="3"/>
      <c r="T90" s="3"/>
    </row>
    <row r="91" spans="1:20">
      <c r="A91" s="3">
        <v>90</v>
      </c>
      <c r="B91" s="19" t="s">
        <v>1171</v>
      </c>
      <c r="C91" s="4" t="s">
        <v>739</v>
      </c>
      <c r="D91" s="4" t="s">
        <v>747</v>
      </c>
      <c r="E91" s="3" t="s">
        <v>1172</v>
      </c>
      <c r="F91" s="3" t="s">
        <v>32</v>
      </c>
      <c r="G91" s="3" t="s">
        <v>1173</v>
      </c>
      <c r="H91" s="3" t="s">
        <v>45</v>
      </c>
      <c r="I91" s="3">
        <v>1961</v>
      </c>
      <c r="J91" s="3">
        <v>64</v>
      </c>
      <c r="K91" s="3">
        <v>4.2</v>
      </c>
      <c r="L91" s="3"/>
      <c r="M91" s="3"/>
      <c r="N91" s="3" t="s">
        <v>882</v>
      </c>
      <c r="O91" s="3"/>
      <c r="P91" s="3"/>
      <c r="Q91" s="3"/>
      <c r="R91" s="3"/>
      <c r="S91" s="3"/>
      <c r="T91" s="3"/>
    </row>
    <row r="92" spans="1:20">
      <c r="A92" s="3">
        <v>91</v>
      </c>
      <c r="B92" s="19" t="s">
        <v>1174</v>
      </c>
      <c r="C92" s="4" t="s">
        <v>739</v>
      </c>
      <c r="D92" s="4" t="s">
        <v>747</v>
      </c>
      <c r="E92" s="3" t="s">
        <v>1175</v>
      </c>
      <c r="F92" s="3" t="s">
        <v>32</v>
      </c>
      <c r="G92" s="3" t="s">
        <v>1176</v>
      </c>
      <c r="H92" s="3" t="s">
        <v>45</v>
      </c>
      <c r="I92" s="3">
        <v>1959</v>
      </c>
      <c r="J92" s="3">
        <v>66</v>
      </c>
      <c r="K92" s="3">
        <v>4.9000000000000004</v>
      </c>
      <c r="L92" s="3"/>
      <c r="M92" s="3"/>
      <c r="N92" s="3" t="s">
        <v>882</v>
      </c>
      <c r="O92" s="3"/>
      <c r="P92" s="3"/>
      <c r="Q92" s="3"/>
      <c r="R92" s="3"/>
      <c r="S92" s="3"/>
      <c r="T92" s="3"/>
    </row>
    <row r="93" spans="1:20">
      <c r="A93" s="3">
        <v>92</v>
      </c>
      <c r="B93" s="19" t="s">
        <v>1177</v>
      </c>
      <c r="C93" s="4" t="s">
        <v>739</v>
      </c>
      <c r="D93" s="4" t="s">
        <v>747</v>
      </c>
      <c r="E93" s="3" t="s">
        <v>1178</v>
      </c>
      <c r="F93" s="3" t="s">
        <v>32</v>
      </c>
      <c r="G93" s="3" t="s">
        <v>1179</v>
      </c>
      <c r="H93" s="3" t="s">
        <v>34</v>
      </c>
      <c r="I93" s="3">
        <v>1974</v>
      </c>
      <c r="J93" s="3">
        <v>51</v>
      </c>
      <c r="K93" s="3">
        <v>4</v>
      </c>
      <c r="L93" s="3"/>
      <c r="M93" s="3"/>
      <c r="N93" s="3" t="s">
        <v>882</v>
      </c>
      <c r="O93" s="3"/>
      <c r="P93" s="3"/>
      <c r="Q93" s="3"/>
      <c r="R93" s="3"/>
      <c r="S93" s="3"/>
      <c r="T93" s="3"/>
    </row>
    <row r="94" spans="1:20">
      <c r="A94" s="3">
        <v>93</v>
      </c>
      <c r="B94" s="19" t="s">
        <v>1180</v>
      </c>
      <c r="C94" s="4" t="s">
        <v>747</v>
      </c>
      <c r="D94" s="4" t="s">
        <v>751</v>
      </c>
      <c r="E94" s="3" t="s">
        <v>1181</v>
      </c>
      <c r="F94" s="3" t="s">
        <v>32</v>
      </c>
      <c r="G94" s="3" t="s">
        <v>1182</v>
      </c>
      <c r="H94" s="3" t="s">
        <v>712</v>
      </c>
      <c r="I94" s="3">
        <v>1960</v>
      </c>
      <c r="J94" s="3">
        <v>65</v>
      </c>
      <c r="K94" s="3">
        <v>3.9</v>
      </c>
      <c r="L94" s="3"/>
      <c r="M94" s="3"/>
      <c r="N94" s="3" t="s">
        <v>882</v>
      </c>
      <c r="O94" s="3"/>
      <c r="P94" s="3"/>
      <c r="Q94" s="3"/>
      <c r="R94" s="3"/>
      <c r="S94" s="3"/>
      <c r="T94" s="3"/>
    </row>
    <row r="95" spans="1:20">
      <c r="A95" s="3">
        <v>94</v>
      </c>
      <c r="B95" s="44" t="s">
        <v>1183</v>
      </c>
      <c r="C95" s="54" t="s">
        <v>747</v>
      </c>
      <c r="D95" s="54" t="s">
        <v>751</v>
      </c>
      <c r="E95" s="40" t="s">
        <v>1184</v>
      </c>
      <c r="F95" s="40" t="s">
        <v>32</v>
      </c>
      <c r="G95" s="40" t="s">
        <v>1185</v>
      </c>
      <c r="H95" s="40" t="s">
        <v>712</v>
      </c>
      <c r="I95" s="40">
        <v>1970</v>
      </c>
      <c r="J95" s="40">
        <v>55</v>
      </c>
      <c r="K95" s="40">
        <v>3.2</v>
      </c>
      <c r="L95" s="40"/>
      <c r="M95" s="40"/>
      <c r="N95" s="40" t="s">
        <v>882</v>
      </c>
      <c r="O95" s="40"/>
      <c r="P95" s="40"/>
      <c r="Q95" s="40"/>
      <c r="R95" s="40"/>
      <c r="S95" s="40"/>
      <c r="T95" s="40" t="s">
        <v>1186</v>
      </c>
    </row>
    <row r="96" spans="1:20">
      <c r="A96" s="3">
        <v>95</v>
      </c>
      <c r="B96" s="19" t="s">
        <v>1187</v>
      </c>
      <c r="C96" s="4" t="s">
        <v>751</v>
      </c>
      <c r="D96" s="20" t="s">
        <v>1188</v>
      </c>
      <c r="E96" s="3" t="s">
        <v>1189</v>
      </c>
      <c r="F96" s="3" t="s">
        <v>32</v>
      </c>
      <c r="G96" s="3" t="s">
        <v>1190</v>
      </c>
      <c r="H96" s="3" t="s">
        <v>45</v>
      </c>
      <c r="I96" s="3">
        <v>1952</v>
      </c>
      <c r="J96" s="3">
        <v>73</v>
      </c>
      <c r="K96" s="3">
        <v>4</v>
      </c>
      <c r="L96" s="3"/>
      <c r="M96" s="3"/>
      <c r="N96" s="3" t="s">
        <v>882</v>
      </c>
      <c r="O96" s="3"/>
      <c r="P96" s="3"/>
      <c r="Q96" s="3"/>
      <c r="R96" s="3"/>
      <c r="S96" s="3"/>
      <c r="T96" s="3"/>
    </row>
    <row r="97" spans="1:20">
      <c r="A97" s="3">
        <v>96</v>
      </c>
      <c r="B97" s="19" t="s">
        <v>1191</v>
      </c>
      <c r="C97" s="20" t="s">
        <v>1188</v>
      </c>
      <c r="D97" s="20" t="s">
        <v>760</v>
      </c>
      <c r="E97" s="5" t="s">
        <v>1192</v>
      </c>
      <c r="F97" s="5" t="s">
        <v>32</v>
      </c>
      <c r="G97" s="5" t="s">
        <v>1193</v>
      </c>
      <c r="H97" s="5" t="s">
        <v>173</v>
      </c>
      <c r="I97" s="5">
        <v>1949</v>
      </c>
      <c r="J97" s="5">
        <v>76</v>
      </c>
      <c r="K97" s="5">
        <v>3.9</v>
      </c>
      <c r="L97" s="5"/>
      <c r="M97" s="5"/>
      <c r="N97" s="5" t="s">
        <v>882</v>
      </c>
      <c r="O97" s="5"/>
      <c r="P97" s="5"/>
      <c r="Q97" s="5"/>
      <c r="R97" s="5"/>
      <c r="S97" s="5"/>
      <c r="T97" s="5" t="s">
        <v>1194</v>
      </c>
    </row>
    <row r="98" spans="1:20">
      <c r="A98" s="3">
        <v>97</v>
      </c>
      <c r="B98" s="19" t="s">
        <v>1195</v>
      </c>
      <c r="C98" s="4" t="s">
        <v>759</v>
      </c>
      <c r="D98" s="4" t="s">
        <v>760</v>
      </c>
      <c r="E98" s="3" t="s">
        <v>1196</v>
      </c>
      <c r="F98" s="3" t="s">
        <v>32</v>
      </c>
      <c r="G98" s="3" t="s">
        <v>1197</v>
      </c>
      <c r="H98" s="3" t="s">
        <v>712</v>
      </c>
      <c r="I98" s="3">
        <v>1957</v>
      </c>
      <c r="J98" s="3">
        <v>68</v>
      </c>
      <c r="K98" s="3">
        <v>4.7</v>
      </c>
      <c r="L98" s="3"/>
      <c r="M98" s="3"/>
      <c r="N98" s="3" t="s">
        <v>882</v>
      </c>
      <c r="O98" s="3"/>
      <c r="P98" s="3"/>
      <c r="Q98" s="3"/>
      <c r="R98" s="3"/>
      <c r="S98" s="3"/>
      <c r="T98" s="3"/>
    </row>
    <row r="99" spans="1:20">
      <c r="A99" s="3">
        <v>98</v>
      </c>
      <c r="B99" s="19" t="s">
        <v>1198</v>
      </c>
      <c r="C99" s="4" t="s">
        <v>759</v>
      </c>
      <c r="D99" s="20" t="s">
        <v>760</v>
      </c>
      <c r="E99" s="5" t="s">
        <v>1199</v>
      </c>
      <c r="F99" s="5" t="s">
        <v>32</v>
      </c>
      <c r="G99" s="5" t="s">
        <v>1200</v>
      </c>
      <c r="H99" s="5" t="s">
        <v>712</v>
      </c>
      <c r="I99" s="5">
        <v>1967</v>
      </c>
      <c r="J99" s="5">
        <v>58</v>
      </c>
      <c r="K99" s="5">
        <v>3.2</v>
      </c>
      <c r="L99" s="5"/>
      <c r="M99" s="5"/>
      <c r="N99" s="5" t="s">
        <v>882</v>
      </c>
      <c r="O99" s="5"/>
      <c r="P99" s="5"/>
      <c r="Q99" s="5"/>
      <c r="R99" s="5"/>
      <c r="S99" s="5"/>
      <c r="T99" s="5"/>
    </row>
    <row r="100" spans="1:20">
      <c r="A100" s="3">
        <v>99</v>
      </c>
      <c r="B100" s="19" t="s">
        <v>1201</v>
      </c>
      <c r="C100" s="13" t="s">
        <v>781</v>
      </c>
      <c r="D100" s="4" t="s">
        <v>785</v>
      </c>
      <c r="E100" s="3" t="s">
        <v>1202</v>
      </c>
      <c r="F100" s="3" t="s">
        <v>32</v>
      </c>
      <c r="G100" s="3" t="s">
        <v>1203</v>
      </c>
      <c r="H100" s="3" t="s">
        <v>712</v>
      </c>
      <c r="I100" s="3">
        <v>1958</v>
      </c>
      <c r="J100" s="3">
        <v>67</v>
      </c>
      <c r="K100" s="3">
        <v>4.0999999999999996</v>
      </c>
      <c r="L100" s="3"/>
      <c r="M100" s="3"/>
      <c r="N100" s="3" t="s">
        <v>882</v>
      </c>
      <c r="O100" s="3"/>
      <c r="P100" s="3"/>
      <c r="Q100" s="3"/>
      <c r="R100" s="3"/>
      <c r="S100" s="3"/>
      <c r="T100" s="3" t="s">
        <v>1204</v>
      </c>
    </row>
    <row r="101" spans="1:20">
      <c r="A101" s="3">
        <v>100</v>
      </c>
      <c r="B101" s="19" t="s">
        <v>1205</v>
      </c>
      <c r="C101" s="12" t="s">
        <v>781</v>
      </c>
      <c r="D101" s="20" t="s">
        <v>785</v>
      </c>
      <c r="E101" s="5" t="s">
        <v>1206</v>
      </c>
      <c r="F101" s="5" t="s">
        <v>32</v>
      </c>
      <c r="G101" s="5" t="s">
        <v>1207</v>
      </c>
      <c r="H101" s="5" t="s">
        <v>173</v>
      </c>
      <c r="I101" s="5">
        <v>1957</v>
      </c>
      <c r="J101" s="5">
        <v>68</v>
      </c>
      <c r="K101" s="5">
        <v>4.5</v>
      </c>
      <c r="L101" s="5"/>
      <c r="M101" s="5"/>
      <c r="N101" s="5" t="s">
        <v>882</v>
      </c>
      <c r="O101" s="5"/>
      <c r="P101" s="5"/>
      <c r="Q101" s="5"/>
      <c r="R101" s="5"/>
      <c r="S101" s="5"/>
      <c r="T101" s="5"/>
    </row>
    <row r="102" spans="1:20">
      <c r="A102" s="3">
        <v>101</v>
      </c>
      <c r="B102" s="19" t="s">
        <v>1208</v>
      </c>
      <c r="C102" s="20" t="s">
        <v>812</v>
      </c>
      <c r="D102" s="20" t="s">
        <v>813</v>
      </c>
      <c r="E102" s="5" t="s">
        <v>1209</v>
      </c>
      <c r="F102" s="5" t="s">
        <v>32</v>
      </c>
      <c r="G102" s="5" t="s">
        <v>1210</v>
      </c>
      <c r="H102" s="5" t="s">
        <v>173</v>
      </c>
      <c r="I102" s="5">
        <v>1952</v>
      </c>
      <c r="J102" s="5">
        <v>73</v>
      </c>
      <c r="K102" s="5">
        <v>5.2</v>
      </c>
      <c r="L102" s="5"/>
      <c r="M102" s="5"/>
      <c r="N102" s="5" t="s">
        <v>882</v>
      </c>
      <c r="O102" s="5"/>
      <c r="P102" s="5"/>
      <c r="Q102" s="5"/>
      <c r="R102" s="5"/>
      <c r="S102" s="5"/>
      <c r="T102" s="5"/>
    </row>
    <row r="103" spans="1:20">
      <c r="A103" s="3">
        <v>102</v>
      </c>
      <c r="B103" s="19" t="s">
        <v>1211</v>
      </c>
      <c r="C103" s="3" t="s">
        <v>813</v>
      </c>
      <c r="D103" s="4" t="s">
        <v>1212</v>
      </c>
      <c r="E103" s="3" t="s">
        <v>1213</v>
      </c>
      <c r="F103" s="3" t="s">
        <v>32</v>
      </c>
      <c r="G103" s="3" t="s">
        <v>1214</v>
      </c>
      <c r="H103" s="3" t="s">
        <v>712</v>
      </c>
      <c r="I103" s="3">
        <v>1970</v>
      </c>
      <c r="J103" s="3">
        <v>55</v>
      </c>
      <c r="K103" s="3">
        <v>4</v>
      </c>
      <c r="L103" s="3"/>
      <c r="M103" s="3"/>
      <c r="N103" s="73" t="s">
        <v>882</v>
      </c>
      <c r="O103" s="3"/>
      <c r="P103" s="3"/>
      <c r="Q103" s="3"/>
      <c r="R103" s="3"/>
      <c r="S103" s="3"/>
      <c r="T103" s="3" t="s">
        <v>549</v>
      </c>
    </row>
    <row r="104" spans="1:20">
      <c r="A104" s="3">
        <v>103</v>
      </c>
      <c r="B104" s="19" t="s">
        <v>1215</v>
      </c>
      <c r="C104" s="3" t="s">
        <v>813</v>
      </c>
      <c r="D104" s="4" t="s">
        <v>1212</v>
      </c>
      <c r="E104" s="5" t="s">
        <v>1216</v>
      </c>
      <c r="F104" s="5" t="s">
        <v>32</v>
      </c>
      <c r="G104" s="5" t="s">
        <v>1217</v>
      </c>
      <c r="H104" s="5" t="s">
        <v>712</v>
      </c>
      <c r="I104" s="5">
        <v>1975</v>
      </c>
      <c r="J104" s="5">
        <v>50</v>
      </c>
      <c r="K104" s="5">
        <v>5.3</v>
      </c>
      <c r="L104" s="155" t="s">
        <v>1218</v>
      </c>
      <c r="M104" s="5"/>
      <c r="N104" s="74" t="s">
        <v>292</v>
      </c>
      <c r="O104" s="5"/>
      <c r="P104" s="5"/>
      <c r="Q104" s="5"/>
      <c r="R104" s="5"/>
      <c r="S104" s="5"/>
      <c r="T104" s="5"/>
    </row>
    <row r="105" spans="1:20">
      <c r="A105" s="3">
        <v>104</v>
      </c>
      <c r="B105" s="19" t="s">
        <v>1219</v>
      </c>
      <c r="C105" s="19" t="s">
        <v>1212</v>
      </c>
      <c r="D105" s="3" t="s">
        <v>820</v>
      </c>
      <c r="E105" s="3" t="s">
        <v>1220</v>
      </c>
      <c r="F105" s="3" t="s">
        <v>32</v>
      </c>
      <c r="G105" s="19" t="s">
        <v>1221</v>
      </c>
      <c r="H105" s="3" t="s">
        <v>173</v>
      </c>
      <c r="I105" s="3">
        <v>1949</v>
      </c>
      <c r="J105" s="3">
        <v>76</v>
      </c>
      <c r="K105" s="3">
        <v>4.5999999999999996</v>
      </c>
      <c r="L105" s="8"/>
      <c r="M105" s="3"/>
      <c r="N105" s="73" t="s">
        <v>882</v>
      </c>
      <c r="O105" s="3"/>
      <c r="P105" s="3"/>
      <c r="Q105" s="3"/>
      <c r="R105" s="3"/>
      <c r="S105" s="3"/>
      <c r="T105" s="3"/>
    </row>
    <row r="106" spans="1:20">
      <c r="A106" s="3">
        <v>105</v>
      </c>
      <c r="B106" s="19" t="s">
        <v>1222</v>
      </c>
      <c r="C106" s="18" t="s">
        <v>1212</v>
      </c>
      <c r="D106" s="3" t="s">
        <v>820</v>
      </c>
      <c r="E106" s="5" t="s">
        <v>1223</v>
      </c>
      <c r="F106" s="5" t="s">
        <v>32</v>
      </c>
      <c r="G106" s="18" t="s">
        <v>1224</v>
      </c>
      <c r="H106" s="3" t="s">
        <v>712</v>
      </c>
      <c r="I106" s="3">
        <v>1968</v>
      </c>
      <c r="J106" s="3">
        <v>57</v>
      </c>
      <c r="K106" s="3">
        <v>3.5</v>
      </c>
      <c r="L106" s="9"/>
      <c r="M106" s="5"/>
      <c r="N106" s="74" t="s">
        <v>377</v>
      </c>
      <c r="O106" s="5"/>
      <c r="P106" s="5"/>
      <c r="Q106" s="5"/>
      <c r="R106" s="5"/>
      <c r="S106" s="5"/>
      <c r="T106" s="5"/>
    </row>
    <row r="107" spans="1:20">
      <c r="A107" s="3">
        <v>106</v>
      </c>
      <c r="B107" s="19" t="s">
        <v>1225</v>
      </c>
      <c r="C107" s="3" t="s">
        <v>820</v>
      </c>
      <c r="D107" s="20" t="s">
        <v>821</v>
      </c>
      <c r="E107" s="18" t="s">
        <v>1226</v>
      </c>
      <c r="F107" s="5" t="s">
        <v>32</v>
      </c>
      <c r="G107" s="22" t="s">
        <v>1227</v>
      </c>
      <c r="H107" s="5" t="s">
        <v>1228</v>
      </c>
      <c r="I107" s="5">
        <v>1948</v>
      </c>
      <c r="J107" s="5">
        <v>77</v>
      </c>
      <c r="K107" s="5">
        <v>4.2</v>
      </c>
      <c r="L107" s="9"/>
      <c r="M107" s="5"/>
      <c r="N107" s="74" t="s">
        <v>882</v>
      </c>
      <c r="O107" s="5"/>
      <c r="P107" s="5"/>
      <c r="Q107" s="5"/>
      <c r="R107" s="5"/>
      <c r="S107" s="5"/>
      <c r="T107" s="5" t="s">
        <v>549</v>
      </c>
    </row>
    <row r="108" spans="1:20">
      <c r="A108" s="3">
        <v>107</v>
      </c>
      <c r="B108" s="19" t="s">
        <v>1229</v>
      </c>
      <c r="C108" s="18" t="s">
        <v>820</v>
      </c>
      <c r="D108" s="4" t="s">
        <v>821</v>
      </c>
      <c r="E108" s="3" t="s">
        <v>1230</v>
      </c>
      <c r="F108" s="3" t="s">
        <v>32</v>
      </c>
      <c r="G108" s="3" t="s">
        <v>1231</v>
      </c>
      <c r="H108" s="3" t="s">
        <v>1232</v>
      </c>
      <c r="I108" s="3">
        <v>1975</v>
      </c>
      <c r="J108" s="3">
        <v>50</v>
      </c>
      <c r="K108" s="3">
        <v>4.3</v>
      </c>
      <c r="L108" s="3"/>
      <c r="M108" s="3"/>
      <c r="N108" s="73" t="s">
        <v>882</v>
      </c>
      <c r="O108" s="3"/>
      <c r="P108" s="3"/>
      <c r="Q108" s="3"/>
      <c r="R108" s="3"/>
      <c r="S108" s="3"/>
      <c r="T108" s="3"/>
    </row>
    <row r="109" spans="1:20">
      <c r="A109" s="3">
        <v>108</v>
      </c>
      <c r="B109" s="19" t="s">
        <v>1233</v>
      </c>
      <c r="C109" s="58" t="s">
        <v>821</v>
      </c>
      <c r="D109" s="4" t="s">
        <v>828</v>
      </c>
      <c r="E109" s="3" t="s">
        <v>1234</v>
      </c>
      <c r="F109" s="3" t="s">
        <v>32</v>
      </c>
      <c r="G109" s="3" t="s">
        <v>1235</v>
      </c>
      <c r="H109" s="3" t="s">
        <v>1232</v>
      </c>
      <c r="I109" s="3">
        <v>1969</v>
      </c>
      <c r="J109" s="3">
        <v>56</v>
      </c>
      <c r="K109" s="3">
        <v>4.5</v>
      </c>
      <c r="L109" s="3"/>
      <c r="M109" s="3"/>
      <c r="N109" s="73" t="s">
        <v>882</v>
      </c>
      <c r="O109" s="3"/>
      <c r="P109" s="3"/>
      <c r="Q109" s="3"/>
      <c r="R109" s="3"/>
      <c r="S109" s="3"/>
      <c r="T109" s="3" t="s">
        <v>1204</v>
      </c>
    </row>
    <row r="110" spans="1:20">
      <c r="A110" s="3">
        <v>109</v>
      </c>
      <c r="B110" s="19" t="s">
        <v>1236</v>
      </c>
      <c r="C110" s="11" t="s">
        <v>1237</v>
      </c>
      <c r="D110" s="4" t="s">
        <v>828</v>
      </c>
      <c r="E110" s="3" t="s">
        <v>1238</v>
      </c>
      <c r="F110" s="3" t="s">
        <v>32</v>
      </c>
      <c r="G110" s="3" t="s">
        <v>1239</v>
      </c>
      <c r="H110" s="3" t="s">
        <v>1232</v>
      </c>
      <c r="I110" s="3">
        <v>1967</v>
      </c>
      <c r="J110" s="3">
        <v>58</v>
      </c>
      <c r="K110" s="3">
        <v>4</v>
      </c>
      <c r="L110" s="3"/>
      <c r="M110" s="3"/>
      <c r="N110" s="73" t="s">
        <v>882</v>
      </c>
      <c r="O110" s="3"/>
      <c r="P110" s="3"/>
      <c r="Q110" s="3"/>
      <c r="R110" s="3"/>
      <c r="S110" s="3"/>
      <c r="T110" s="3"/>
    </row>
    <row r="111" spans="1:20">
      <c r="A111" s="3">
        <v>110</v>
      </c>
      <c r="B111" s="19" t="s">
        <v>1240</v>
      </c>
      <c r="C111" s="11" t="s">
        <v>1237</v>
      </c>
      <c r="D111" s="4" t="s">
        <v>828</v>
      </c>
      <c r="E111" s="3" t="s">
        <v>1241</v>
      </c>
      <c r="F111" s="3" t="s">
        <v>32</v>
      </c>
      <c r="G111" s="3" t="s">
        <v>1242</v>
      </c>
      <c r="H111" s="3" t="s">
        <v>1232</v>
      </c>
      <c r="I111" s="3">
        <v>1970</v>
      </c>
      <c r="J111" s="3">
        <v>55</v>
      </c>
      <c r="K111" s="3">
        <v>3.9</v>
      </c>
      <c r="L111" s="3"/>
      <c r="M111" s="3"/>
      <c r="N111" s="73" t="s">
        <v>882</v>
      </c>
      <c r="O111" s="3"/>
      <c r="P111" s="3"/>
      <c r="Q111" s="3"/>
      <c r="R111" s="3"/>
      <c r="S111" s="3"/>
      <c r="T111" s="3" t="s">
        <v>549</v>
      </c>
    </row>
    <row r="112" spans="1:20">
      <c r="A112" s="3">
        <v>111</v>
      </c>
      <c r="B112" s="19" t="s">
        <v>1243</v>
      </c>
      <c r="C112" s="58" t="s">
        <v>836</v>
      </c>
      <c r="D112" s="5" t="s">
        <v>841</v>
      </c>
      <c r="E112" s="5" t="s">
        <v>1244</v>
      </c>
      <c r="F112" s="3" t="s">
        <v>32</v>
      </c>
      <c r="G112" s="3" t="s">
        <v>1245</v>
      </c>
      <c r="H112" s="3" t="s">
        <v>1232</v>
      </c>
      <c r="I112" s="3">
        <v>1963</v>
      </c>
      <c r="J112" s="3">
        <v>62</v>
      </c>
      <c r="K112" s="3">
        <v>3.5</v>
      </c>
      <c r="L112" s="3"/>
      <c r="M112" s="3"/>
      <c r="N112" s="73" t="s">
        <v>882</v>
      </c>
      <c r="O112" s="3"/>
      <c r="P112" s="3"/>
      <c r="Q112" s="3"/>
      <c r="R112" s="3"/>
      <c r="S112" s="3"/>
      <c r="T112" s="3"/>
    </row>
    <row r="113" spans="1:20">
      <c r="A113" s="3">
        <v>112</v>
      </c>
      <c r="B113" s="19" t="s">
        <v>1246</v>
      </c>
      <c r="C113" s="4" t="s">
        <v>836</v>
      </c>
      <c r="D113" s="3" t="s">
        <v>841</v>
      </c>
      <c r="E113" s="3" t="s">
        <v>1247</v>
      </c>
      <c r="F113" s="8" t="s">
        <v>32</v>
      </c>
      <c r="G113" s="3" t="s">
        <v>1248</v>
      </c>
      <c r="H113" s="3" t="s">
        <v>1228</v>
      </c>
      <c r="I113" s="3">
        <v>1972</v>
      </c>
      <c r="J113" s="3">
        <v>53</v>
      </c>
      <c r="K113" s="3">
        <v>4.0999999999999996</v>
      </c>
      <c r="L113" s="3"/>
      <c r="M113" s="3"/>
      <c r="N113" s="73" t="s">
        <v>882</v>
      </c>
      <c r="O113" s="3"/>
      <c r="P113" s="3"/>
      <c r="Q113" s="3"/>
      <c r="R113" s="3"/>
      <c r="S113" s="3"/>
      <c r="T113" s="3"/>
    </row>
    <row r="114" spans="1:20">
      <c r="A114" s="3">
        <v>113</v>
      </c>
      <c r="B114" s="19" t="s">
        <v>1249</v>
      </c>
      <c r="C114" s="4" t="s">
        <v>836</v>
      </c>
      <c r="D114" s="3" t="s">
        <v>841</v>
      </c>
      <c r="E114" s="3" t="s">
        <v>1250</v>
      </c>
      <c r="F114" s="8" t="s">
        <v>32</v>
      </c>
      <c r="G114" s="3" t="s">
        <v>1245</v>
      </c>
      <c r="H114" s="3" t="s">
        <v>1232</v>
      </c>
      <c r="I114" s="3">
        <v>1971</v>
      </c>
      <c r="J114" s="3">
        <v>54</v>
      </c>
      <c r="K114" s="3">
        <v>4</v>
      </c>
      <c r="L114" s="3"/>
      <c r="M114" s="3"/>
      <c r="N114" s="73" t="s">
        <v>882</v>
      </c>
      <c r="O114" s="3"/>
      <c r="P114" s="3"/>
      <c r="Q114" s="3"/>
      <c r="R114" s="3"/>
      <c r="S114" s="3"/>
      <c r="T114" s="3"/>
    </row>
    <row r="115" spans="1:20">
      <c r="A115" s="3">
        <v>114</v>
      </c>
      <c r="B115" s="19" t="s">
        <v>1251</v>
      </c>
      <c r="C115" s="4" t="s">
        <v>837</v>
      </c>
      <c r="D115" s="3" t="s">
        <v>1252</v>
      </c>
      <c r="E115" s="3" t="s">
        <v>1253</v>
      </c>
      <c r="F115" s="9" t="s">
        <v>32</v>
      </c>
      <c r="G115" s="5" t="s">
        <v>1254</v>
      </c>
      <c r="H115" s="5" t="s">
        <v>1228</v>
      </c>
      <c r="I115" s="5">
        <v>1940</v>
      </c>
      <c r="J115" s="5">
        <v>85</v>
      </c>
      <c r="K115" s="5">
        <v>4.2</v>
      </c>
      <c r="L115" s="5"/>
      <c r="M115" s="5"/>
      <c r="N115" s="74" t="s">
        <v>882</v>
      </c>
      <c r="O115" s="5"/>
      <c r="P115" s="5"/>
      <c r="Q115" s="5"/>
      <c r="R115" s="5"/>
      <c r="S115" s="5"/>
      <c r="T115" s="5"/>
    </row>
    <row r="116" spans="1:20">
      <c r="A116" s="3">
        <v>115</v>
      </c>
      <c r="B116" s="19" t="s">
        <v>1255</v>
      </c>
      <c r="C116" s="4" t="s">
        <v>841</v>
      </c>
      <c r="D116" s="3" t="s">
        <v>1252</v>
      </c>
      <c r="E116" s="3" t="s">
        <v>1256</v>
      </c>
      <c r="F116" s="8" t="s">
        <v>32</v>
      </c>
      <c r="G116" s="3" t="s">
        <v>1257</v>
      </c>
      <c r="H116" s="3" t="s">
        <v>712</v>
      </c>
      <c r="I116" s="3">
        <v>1962</v>
      </c>
      <c r="J116" s="3">
        <f>2025-I116</f>
        <v>63</v>
      </c>
      <c r="K116" s="3">
        <v>3.9</v>
      </c>
      <c r="L116" s="3"/>
      <c r="M116" s="3"/>
      <c r="N116" s="73" t="s">
        <v>882</v>
      </c>
      <c r="O116" s="3"/>
      <c r="P116" s="3"/>
      <c r="Q116" s="3"/>
      <c r="R116" s="3"/>
      <c r="S116" s="3"/>
      <c r="T116" s="3"/>
    </row>
    <row r="117" spans="1:20">
      <c r="A117" s="3">
        <v>116</v>
      </c>
      <c r="B117" s="19" t="s">
        <v>1258</v>
      </c>
      <c r="C117" s="4" t="s">
        <v>841</v>
      </c>
      <c r="D117" s="3" t="s">
        <v>1252</v>
      </c>
      <c r="E117" s="3" t="s">
        <v>1259</v>
      </c>
      <c r="F117" s="9" t="s">
        <v>32</v>
      </c>
      <c r="G117" s="3" t="s">
        <v>1260</v>
      </c>
      <c r="H117" s="3" t="s">
        <v>173</v>
      </c>
      <c r="I117" s="3">
        <v>1947</v>
      </c>
      <c r="J117" s="3">
        <f t="shared" ref="J117:J119" si="6">2025-I117</f>
        <v>78</v>
      </c>
      <c r="K117" s="3">
        <v>4.8</v>
      </c>
      <c r="L117" s="3"/>
      <c r="M117" s="3"/>
      <c r="N117" s="73" t="s">
        <v>882</v>
      </c>
      <c r="O117" s="3"/>
      <c r="P117" s="3"/>
      <c r="Q117" s="3"/>
      <c r="R117" s="3"/>
      <c r="S117" s="3"/>
      <c r="T117" s="3"/>
    </row>
    <row r="118" spans="1:20">
      <c r="A118" s="3">
        <v>117</v>
      </c>
      <c r="B118" s="19" t="s">
        <v>1261</v>
      </c>
      <c r="C118" s="20" t="s">
        <v>841</v>
      </c>
      <c r="D118" s="5" t="s">
        <v>1252</v>
      </c>
      <c r="E118" s="5" t="s">
        <v>1262</v>
      </c>
      <c r="F118" s="9" t="s">
        <v>32</v>
      </c>
      <c r="G118" s="5" t="s">
        <v>1263</v>
      </c>
      <c r="H118" s="5" t="s">
        <v>173</v>
      </c>
      <c r="I118" s="5">
        <v>1973</v>
      </c>
      <c r="J118" s="5">
        <f t="shared" si="6"/>
        <v>52</v>
      </c>
      <c r="K118" s="5">
        <v>4.3</v>
      </c>
      <c r="L118" s="5"/>
      <c r="M118" s="5"/>
      <c r="N118" s="74" t="s">
        <v>882</v>
      </c>
      <c r="O118" s="5"/>
      <c r="P118" s="5"/>
      <c r="Q118" s="5"/>
      <c r="R118" s="5"/>
      <c r="S118" s="5"/>
      <c r="T118" s="5"/>
    </row>
    <row r="119" spans="1:20">
      <c r="A119" s="3">
        <v>118</v>
      </c>
      <c r="B119" s="19" t="s">
        <v>1264</v>
      </c>
      <c r="C119" s="4" t="s">
        <v>841</v>
      </c>
      <c r="D119" s="3" t="s">
        <v>1252</v>
      </c>
      <c r="E119" s="3" t="s">
        <v>1265</v>
      </c>
      <c r="F119" s="3" t="s">
        <v>32</v>
      </c>
      <c r="G119" s="3" t="s">
        <v>1266</v>
      </c>
      <c r="H119" s="3" t="s">
        <v>173</v>
      </c>
      <c r="I119" s="3">
        <v>1955</v>
      </c>
      <c r="J119" s="3">
        <f t="shared" si="6"/>
        <v>70</v>
      </c>
      <c r="K119" s="3">
        <v>5</v>
      </c>
      <c r="L119" s="3"/>
      <c r="M119" s="3"/>
      <c r="N119" s="73" t="s">
        <v>882</v>
      </c>
      <c r="O119" s="3"/>
      <c r="P119" s="3"/>
      <c r="Q119" s="3"/>
      <c r="R119" s="3"/>
      <c r="S119" s="3"/>
      <c r="T119" s="3"/>
    </row>
    <row r="120" spans="1:20">
      <c r="A120" s="3">
        <v>119</v>
      </c>
      <c r="B120" s="19" t="s">
        <v>1267</v>
      </c>
      <c r="C120" s="4" t="s">
        <v>845</v>
      </c>
      <c r="D120" s="3" t="s">
        <v>846</v>
      </c>
      <c r="E120" s="3" t="s">
        <v>1268</v>
      </c>
      <c r="F120" s="3" t="s">
        <v>32</v>
      </c>
      <c r="G120" s="3" t="s">
        <v>1269</v>
      </c>
      <c r="H120" s="3" t="s">
        <v>1228</v>
      </c>
      <c r="I120" s="3">
        <v>1949</v>
      </c>
      <c r="J120" s="3">
        <v>76</v>
      </c>
      <c r="K120" s="3">
        <v>4.9000000000000004</v>
      </c>
      <c r="L120" s="3"/>
      <c r="M120" s="3"/>
      <c r="N120" s="73" t="s">
        <v>882</v>
      </c>
      <c r="O120" s="3"/>
      <c r="P120" s="3"/>
      <c r="Q120" s="3"/>
      <c r="R120" s="3"/>
      <c r="S120" s="3"/>
      <c r="T120" s="3" t="s">
        <v>549</v>
      </c>
    </row>
    <row r="121" spans="1:20">
      <c r="A121" s="3">
        <v>120</v>
      </c>
      <c r="B121" s="19" t="s">
        <v>1270</v>
      </c>
      <c r="C121" s="4" t="s">
        <v>845</v>
      </c>
      <c r="D121" s="3" t="s">
        <v>846</v>
      </c>
      <c r="E121" s="3" t="s">
        <v>1271</v>
      </c>
      <c r="F121" s="3" t="s">
        <v>32</v>
      </c>
      <c r="G121" s="3" t="s">
        <v>1272</v>
      </c>
      <c r="H121" s="3" t="s">
        <v>1232</v>
      </c>
      <c r="I121" s="3">
        <v>1978</v>
      </c>
      <c r="J121" s="3">
        <v>47</v>
      </c>
      <c r="K121" s="3">
        <v>3.9</v>
      </c>
      <c r="L121" s="3"/>
      <c r="M121" s="3"/>
      <c r="N121" s="73" t="s">
        <v>882</v>
      </c>
      <c r="O121" s="3"/>
      <c r="P121" s="3"/>
      <c r="Q121" s="3"/>
      <c r="R121" s="3"/>
      <c r="S121" s="3"/>
      <c r="T121" s="3" t="s">
        <v>549</v>
      </c>
    </row>
    <row r="122" spans="1:20">
      <c r="A122" s="3">
        <v>121</v>
      </c>
      <c r="B122" s="19" t="s">
        <v>1273</v>
      </c>
      <c r="C122" s="4" t="s">
        <v>845</v>
      </c>
      <c r="D122" s="3" t="s">
        <v>846</v>
      </c>
      <c r="E122" s="3" t="s">
        <v>1274</v>
      </c>
      <c r="F122" s="3" t="s">
        <v>32</v>
      </c>
      <c r="G122" s="3" t="s">
        <v>1275</v>
      </c>
      <c r="H122" s="3" t="s">
        <v>712</v>
      </c>
      <c r="I122" s="3">
        <v>1964</v>
      </c>
      <c r="J122" s="3">
        <v>61</v>
      </c>
      <c r="K122" s="3">
        <v>3.6</v>
      </c>
      <c r="L122" s="3"/>
      <c r="M122" s="3"/>
      <c r="N122" s="73" t="s">
        <v>882</v>
      </c>
      <c r="O122" s="3"/>
      <c r="P122" s="3"/>
      <c r="Q122" s="3"/>
      <c r="R122" s="3"/>
      <c r="S122" s="3"/>
      <c r="T122" s="3"/>
    </row>
    <row r="123" spans="1:20">
      <c r="A123" s="3">
        <v>122</v>
      </c>
      <c r="B123" s="19" t="s">
        <v>1276</v>
      </c>
      <c r="C123" s="4" t="s">
        <v>845</v>
      </c>
      <c r="D123" s="3" t="s">
        <v>846</v>
      </c>
      <c r="E123" s="3" t="s">
        <v>1277</v>
      </c>
      <c r="F123" s="3" t="s">
        <v>32</v>
      </c>
      <c r="G123" s="3" t="s">
        <v>1278</v>
      </c>
      <c r="H123" s="3" t="s">
        <v>712</v>
      </c>
      <c r="I123" s="3">
        <v>1967</v>
      </c>
      <c r="J123" s="3">
        <v>58</v>
      </c>
      <c r="K123" s="3">
        <v>3.2</v>
      </c>
      <c r="L123" s="3"/>
      <c r="M123" s="3"/>
      <c r="N123" s="73" t="s">
        <v>882</v>
      </c>
      <c r="O123" s="3"/>
      <c r="P123" s="3"/>
      <c r="Q123" s="3"/>
      <c r="R123" s="3"/>
      <c r="S123" s="3"/>
      <c r="T123" s="3" t="s">
        <v>549</v>
      </c>
    </row>
    <row r="124" spans="1:20">
      <c r="A124" s="3">
        <v>123</v>
      </c>
      <c r="B124" s="19" t="s">
        <v>1279</v>
      </c>
      <c r="C124" s="4" t="s">
        <v>1280</v>
      </c>
      <c r="D124" s="3" t="s">
        <v>846</v>
      </c>
      <c r="E124" s="3" t="s">
        <v>1281</v>
      </c>
      <c r="F124" s="3" t="s">
        <v>32</v>
      </c>
      <c r="G124" s="3" t="s">
        <v>1282</v>
      </c>
      <c r="H124" s="3" t="s">
        <v>712</v>
      </c>
      <c r="I124" s="3">
        <v>1969</v>
      </c>
      <c r="J124" s="3">
        <v>56</v>
      </c>
      <c r="K124" s="3">
        <v>4.3</v>
      </c>
      <c r="L124" s="3"/>
      <c r="M124" s="3"/>
      <c r="N124" s="73" t="s">
        <v>882</v>
      </c>
      <c r="O124" s="3"/>
      <c r="P124" s="3"/>
      <c r="Q124" s="3"/>
      <c r="R124" s="3"/>
      <c r="S124" s="3"/>
      <c r="T124" s="3"/>
    </row>
    <row r="125" spans="1:20">
      <c r="A125" s="3">
        <v>124</v>
      </c>
      <c r="B125" s="19" t="s">
        <v>1283</v>
      </c>
      <c r="C125" s="5" t="s">
        <v>846</v>
      </c>
      <c r="D125" s="5" t="s">
        <v>1284</v>
      </c>
      <c r="E125" s="5" t="s">
        <v>1285</v>
      </c>
      <c r="F125" s="5" t="s">
        <v>32</v>
      </c>
      <c r="G125" s="5" t="s">
        <v>1286</v>
      </c>
      <c r="H125" s="5" t="s">
        <v>712</v>
      </c>
      <c r="I125" s="5">
        <v>1976</v>
      </c>
      <c r="J125" s="5">
        <f t="shared" ref="J125" si="7">2025-I125</f>
        <v>49</v>
      </c>
      <c r="K125" s="5">
        <v>4</v>
      </c>
      <c r="L125" s="5"/>
      <c r="M125" s="5"/>
      <c r="N125" s="74" t="s">
        <v>882</v>
      </c>
      <c r="O125" s="5"/>
      <c r="P125" s="5"/>
      <c r="Q125" s="5"/>
      <c r="R125" s="5"/>
      <c r="S125" s="5"/>
      <c r="T125" s="5"/>
    </row>
    <row r="126" spans="1:20">
      <c r="A126" s="3">
        <v>125</v>
      </c>
      <c r="B126" s="19" t="s">
        <v>1287</v>
      </c>
      <c r="C126" s="20" t="s">
        <v>1288</v>
      </c>
      <c r="D126" s="14" t="s">
        <v>855</v>
      </c>
      <c r="E126" s="5" t="s">
        <v>1289</v>
      </c>
      <c r="F126" s="5" t="s">
        <v>32</v>
      </c>
      <c r="G126" s="5" t="s">
        <v>1290</v>
      </c>
      <c r="H126" s="5" t="s">
        <v>712</v>
      </c>
      <c r="I126" s="5">
        <v>1973</v>
      </c>
      <c r="J126" s="5">
        <v>52</v>
      </c>
      <c r="K126" s="5">
        <v>3.5</v>
      </c>
      <c r="L126" s="5"/>
      <c r="M126" s="5"/>
      <c r="N126" s="158" t="s">
        <v>882</v>
      </c>
      <c r="O126" s="5"/>
      <c r="P126" s="5"/>
      <c r="Q126" s="5"/>
      <c r="R126" s="5"/>
      <c r="S126" s="5"/>
      <c r="T126" s="5" t="s">
        <v>549</v>
      </c>
    </row>
    <row r="127" spans="1:20">
      <c r="A127" s="3">
        <v>126</v>
      </c>
      <c r="B127" s="19" t="s">
        <v>1291</v>
      </c>
      <c r="C127" s="3" t="s">
        <v>855</v>
      </c>
      <c r="D127" s="4" t="s">
        <v>856</v>
      </c>
      <c r="E127" s="3" t="s">
        <v>1292</v>
      </c>
      <c r="F127" s="3" t="s">
        <v>32</v>
      </c>
      <c r="G127" s="3" t="s">
        <v>1293</v>
      </c>
      <c r="H127" s="3" t="s">
        <v>1232</v>
      </c>
      <c r="I127" s="3">
        <v>1963</v>
      </c>
      <c r="J127" s="3">
        <v>62</v>
      </c>
      <c r="K127" s="3">
        <v>3.5</v>
      </c>
      <c r="L127" s="3"/>
      <c r="M127" s="3"/>
      <c r="N127" s="158" t="s">
        <v>882</v>
      </c>
      <c r="O127" s="3"/>
      <c r="P127" s="3"/>
      <c r="Q127" s="3"/>
      <c r="R127" s="3"/>
      <c r="S127" s="3"/>
      <c r="T127" s="3"/>
    </row>
    <row r="128" spans="1:20">
      <c r="A128" s="3">
        <v>127</v>
      </c>
      <c r="B128" s="19" t="s">
        <v>1294</v>
      </c>
      <c r="C128" s="3" t="s">
        <v>855</v>
      </c>
      <c r="D128" s="4" t="s">
        <v>856</v>
      </c>
      <c r="E128" s="3" t="s">
        <v>1295</v>
      </c>
      <c r="F128" s="3" t="s">
        <v>32</v>
      </c>
      <c r="G128" s="3" t="s">
        <v>1296</v>
      </c>
      <c r="H128" s="3" t="s">
        <v>1232</v>
      </c>
      <c r="I128" s="3">
        <v>1973</v>
      </c>
      <c r="J128" s="3">
        <v>52</v>
      </c>
      <c r="K128" s="3">
        <v>3.7</v>
      </c>
      <c r="L128" s="3"/>
      <c r="M128" s="3"/>
      <c r="N128" s="74" t="s">
        <v>882</v>
      </c>
      <c r="O128" s="3"/>
      <c r="P128" s="3"/>
      <c r="Q128" s="3"/>
      <c r="R128" s="3"/>
      <c r="S128" s="3"/>
      <c r="T128" s="3"/>
    </row>
    <row r="129" spans="1:20">
      <c r="A129" s="3">
        <v>128</v>
      </c>
      <c r="B129" s="19" t="s">
        <v>1297</v>
      </c>
      <c r="C129" s="5" t="s">
        <v>855</v>
      </c>
      <c r="D129" s="20" t="s">
        <v>856</v>
      </c>
      <c r="E129" s="5" t="s">
        <v>1298</v>
      </c>
      <c r="F129" s="5" t="s">
        <v>32</v>
      </c>
      <c r="G129" s="5" t="s">
        <v>1299</v>
      </c>
      <c r="H129" s="5" t="s">
        <v>1232</v>
      </c>
      <c r="I129" s="5">
        <v>1966</v>
      </c>
      <c r="J129" s="5">
        <v>59</v>
      </c>
      <c r="K129" s="5">
        <v>3.6</v>
      </c>
      <c r="L129" s="5"/>
      <c r="M129" s="5"/>
      <c r="N129" s="158" t="s">
        <v>882</v>
      </c>
      <c r="O129" s="5"/>
      <c r="P129" s="5"/>
      <c r="Q129" s="5"/>
      <c r="R129" s="5"/>
      <c r="S129" s="5"/>
      <c r="T129" s="5"/>
    </row>
    <row r="130" spans="1:20">
      <c r="A130" s="3">
        <v>129</v>
      </c>
      <c r="B130" s="19" t="s">
        <v>1300</v>
      </c>
      <c r="C130" s="13" t="s">
        <v>861</v>
      </c>
      <c r="D130" s="4" t="s">
        <v>1301</v>
      </c>
      <c r="E130" s="3" t="s">
        <v>1302</v>
      </c>
      <c r="F130" s="3" t="s">
        <v>32</v>
      </c>
      <c r="G130" s="3" t="s">
        <v>1303</v>
      </c>
      <c r="H130" s="3" t="s">
        <v>1232</v>
      </c>
      <c r="I130" s="3">
        <v>1960</v>
      </c>
      <c r="J130" s="3">
        <v>65</v>
      </c>
      <c r="K130" s="3">
        <v>4</v>
      </c>
      <c r="L130" s="3"/>
      <c r="M130" s="3"/>
      <c r="N130" s="158" t="s">
        <v>882</v>
      </c>
      <c r="O130" s="3"/>
      <c r="P130" s="3"/>
      <c r="Q130" s="3"/>
      <c r="R130" s="3"/>
      <c r="S130" s="3"/>
      <c r="T130" s="3"/>
    </row>
    <row r="131" spans="1:20">
      <c r="A131" s="3">
        <v>130</v>
      </c>
      <c r="B131" s="19" t="s">
        <v>1304</v>
      </c>
      <c r="C131" s="12" t="s">
        <v>861</v>
      </c>
      <c r="D131" s="4" t="s">
        <v>1301</v>
      </c>
      <c r="E131" s="3" t="s">
        <v>1305</v>
      </c>
      <c r="F131" s="3" t="s">
        <v>32</v>
      </c>
      <c r="G131" s="3" t="s">
        <v>1306</v>
      </c>
      <c r="H131" s="3" t="s">
        <v>1232</v>
      </c>
      <c r="I131" s="3">
        <v>1964</v>
      </c>
      <c r="J131" s="3">
        <v>61</v>
      </c>
      <c r="K131" s="3">
        <v>4.9000000000000004</v>
      </c>
      <c r="L131" s="3"/>
      <c r="M131" s="3"/>
      <c r="N131" s="158" t="s">
        <v>882</v>
      </c>
      <c r="O131" s="3"/>
      <c r="P131" s="3"/>
      <c r="Q131" s="3"/>
      <c r="R131" s="3"/>
      <c r="S131" s="3"/>
      <c r="T131" s="3"/>
    </row>
    <row r="132" spans="1:20">
      <c r="A132" s="3">
        <v>131</v>
      </c>
      <c r="B132" s="19" t="s">
        <v>1307</v>
      </c>
      <c r="C132" s="11" t="s">
        <v>1301</v>
      </c>
      <c r="D132" s="3" t="s">
        <v>1308</v>
      </c>
      <c r="E132" s="3" t="s">
        <v>1309</v>
      </c>
      <c r="F132" s="3" t="s">
        <v>32</v>
      </c>
      <c r="G132" s="3" t="s">
        <v>1310</v>
      </c>
      <c r="H132" s="3" t="s">
        <v>712</v>
      </c>
      <c r="I132" s="3">
        <v>1953</v>
      </c>
      <c r="J132" s="3">
        <v>72</v>
      </c>
      <c r="K132" s="3">
        <v>4.5</v>
      </c>
      <c r="L132" s="3"/>
      <c r="M132" s="3"/>
      <c r="N132" s="73"/>
      <c r="O132" s="3"/>
      <c r="P132" s="3"/>
      <c r="Q132" s="3"/>
      <c r="R132" s="3"/>
      <c r="S132" s="3"/>
      <c r="T132" s="3"/>
    </row>
    <row r="133" spans="1:20">
      <c r="A133" s="3">
        <v>132</v>
      </c>
      <c r="B133" s="19" t="s">
        <v>1311</v>
      </c>
      <c r="C133" s="11" t="s">
        <v>1312</v>
      </c>
      <c r="D133" s="5" t="s">
        <v>1313</v>
      </c>
      <c r="E133" s="5" t="s">
        <v>1314</v>
      </c>
      <c r="F133" s="5" t="s">
        <v>32</v>
      </c>
      <c r="G133" s="5" t="s">
        <v>1315</v>
      </c>
      <c r="H133" s="5" t="s">
        <v>1316</v>
      </c>
      <c r="I133" s="5">
        <v>1957</v>
      </c>
      <c r="J133" s="5">
        <v>68</v>
      </c>
      <c r="K133" s="5">
        <v>3.9</v>
      </c>
      <c r="L133" s="5"/>
      <c r="M133" s="5"/>
      <c r="N133" s="74"/>
      <c r="O133" s="5"/>
      <c r="P133" s="5"/>
      <c r="Q133" s="5"/>
      <c r="R133" s="5"/>
      <c r="S133" s="5"/>
      <c r="T133" s="5"/>
    </row>
    <row r="134" spans="1:20">
      <c r="A134" s="3">
        <v>133</v>
      </c>
      <c r="B134" s="19" t="s">
        <v>1317</v>
      </c>
      <c r="C134" s="19" t="s">
        <v>869</v>
      </c>
      <c r="D134" s="3" t="s">
        <v>870</v>
      </c>
      <c r="E134" s="3" t="s">
        <v>1318</v>
      </c>
      <c r="F134" s="3" t="s">
        <v>32</v>
      </c>
      <c r="G134" s="3" t="s">
        <v>1319</v>
      </c>
      <c r="H134" s="3" t="s">
        <v>1232</v>
      </c>
      <c r="I134" s="3">
        <v>1958</v>
      </c>
      <c r="J134" s="3">
        <v>67</v>
      </c>
      <c r="K134" s="3">
        <v>4</v>
      </c>
      <c r="L134" s="3"/>
      <c r="M134" s="3"/>
      <c r="N134" s="73"/>
      <c r="O134" s="3"/>
      <c r="P134" s="3"/>
      <c r="Q134" s="3"/>
      <c r="R134" s="3"/>
      <c r="S134" s="3"/>
      <c r="T134" s="3" t="s">
        <v>205</v>
      </c>
    </row>
    <row r="135" spans="1:20">
      <c r="A135" s="3">
        <v>134</v>
      </c>
      <c r="B135" s="19" t="s">
        <v>1320</v>
      </c>
      <c r="C135" s="19" t="s">
        <v>869</v>
      </c>
      <c r="D135" s="3" t="s">
        <v>870</v>
      </c>
      <c r="E135" s="3" t="s">
        <v>1321</v>
      </c>
      <c r="F135" s="3" t="s">
        <v>32</v>
      </c>
      <c r="G135" s="3" t="s">
        <v>1322</v>
      </c>
      <c r="H135" s="3" t="s">
        <v>1232</v>
      </c>
      <c r="I135" s="3">
        <v>1967</v>
      </c>
      <c r="J135" s="3">
        <v>58</v>
      </c>
      <c r="K135" s="3">
        <v>4</v>
      </c>
      <c r="L135" s="3"/>
      <c r="M135" s="3"/>
      <c r="N135" s="73"/>
      <c r="O135" s="3"/>
      <c r="P135" s="3"/>
      <c r="Q135" s="3"/>
      <c r="R135" s="3"/>
      <c r="S135" s="3"/>
      <c r="T135" s="3"/>
    </row>
    <row r="136" spans="1:20">
      <c r="A136" s="3">
        <v>135</v>
      </c>
      <c r="B136" s="19" t="s">
        <v>1323</v>
      </c>
      <c r="C136" s="19" t="s">
        <v>869</v>
      </c>
      <c r="D136" s="3" t="s">
        <v>870</v>
      </c>
      <c r="E136" s="3" t="s">
        <v>1324</v>
      </c>
      <c r="F136" s="3" t="s">
        <v>32</v>
      </c>
      <c r="G136" s="3" t="s">
        <v>1325</v>
      </c>
      <c r="H136" s="3" t="s">
        <v>1228</v>
      </c>
      <c r="I136" s="3">
        <v>1952</v>
      </c>
      <c r="J136" s="3">
        <v>73</v>
      </c>
      <c r="K136" s="3">
        <v>3.9</v>
      </c>
      <c r="L136" s="3"/>
      <c r="M136" s="3"/>
      <c r="N136" s="73"/>
      <c r="O136" s="3"/>
      <c r="P136" s="3"/>
      <c r="Q136" s="3"/>
      <c r="R136" s="3"/>
      <c r="S136" s="3"/>
      <c r="T136" s="3" t="s">
        <v>1081</v>
      </c>
    </row>
    <row r="137" spans="1:20">
      <c r="N137" s="81"/>
    </row>
    <row r="138" spans="1:20">
      <c r="N138" s="81"/>
    </row>
    <row r="139" spans="1:20">
      <c r="N139" s="81"/>
    </row>
    <row r="140" spans="1:20">
      <c r="N140" s="81"/>
    </row>
  </sheetData>
  <sheetProtection sheet="1" objects="1" scenarios="1"/>
  <autoFilter ref="A1:T77" xr:uid="{31A1BCE7-CC55-4B23-B39A-57837C9FFB1D}"/>
  <conditionalFormatting sqref="Y1:Y1048576 B1:B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921C-522E-4EC1-9243-08190253058F}">
  <sheetPr filterMode="1"/>
  <dimension ref="A1:B65"/>
  <sheetViews>
    <sheetView workbookViewId="0">
      <selection activeCell="A44" sqref="A44:A65"/>
    </sheetView>
  </sheetViews>
  <sheetFormatPr defaultRowHeight="14.25"/>
  <cols>
    <col min="1" max="1" width="15.875" bestFit="1" customWidth="1"/>
    <col min="2" max="2" width="17.25" bestFit="1" customWidth="1"/>
  </cols>
  <sheetData>
    <row r="1" spans="1:2">
      <c r="A1" t="s">
        <v>9</v>
      </c>
    </row>
    <row r="2" spans="1:2" hidden="1">
      <c r="A2" t="s">
        <v>1326</v>
      </c>
      <c r="B2" t="s">
        <v>1327</v>
      </c>
    </row>
    <row r="3" spans="1:2" hidden="1">
      <c r="A3" t="s">
        <v>1328</v>
      </c>
      <c r="B3" t="s">
        <v>1329</v>
      </c>
    </row>
    <row r="4" spans="1:2" hidden="1">
      <c r="A4" t="s">
        <v>1330</v>
      </c>
      <c r="B4" t="s">
        <v>1331</v>
      </c>
    </row>
    <row r="5" spans="1:2" hidden="1">
      <c r="A5" t="s">
        <v>1332</v>
      </c>
      <c r="B5" t="s">
        <v>1333</v>
      </c>
    </row>
    <row r="6" spans="1:2">
      <c r="A6" t="s">
        <v>896</v>
      </c>
      <c r="B6" t="s">
        <v>1334</v>
      </c>
    </row>
    <row r="7" spans="1:2">
      <c r="A7" t="s">
        <v>899</v>
      </c>
      <c r="B7" t="s">
        <v>1334</v>
      </c>
    </row>
    <row r="8" spans="1:2">
      <c r="A8" t="s">
        <v>904</v>
      </c>
      <c r="B8" t="s">
        <v>1334</v>
      </c>
    </row>
    <row r="9" spans="1:2">
      <c r="A9" t="s">
        <v>917</v>
      </c>
      <c r="B9" t="s">
        <v>1334</v>
      </c>
    </row>
    <row r="10" spans="1:2">
      <c r="A10" t="s">
        <v>920</v>
      </c>
      <c r="B10" t="s">
        <v>1334</v>
      </c>
    </row>
    <row r="11" spans="1:2">
      <c r="A11" t="s">
        <v>923</v>
      </c>
      <c r="B11" t="s">
        <v>1334</v>
      </c>
    </row>
    <row r="12" spans="1:2">
      <c r="A12" t="s">
        <v>926</v>
      </c>
      <c r="B12" t="s">
        <v>1334</v>
      </c>
    </row>
    <row r="13" spans="1:2">
      <c r="A13" t="s">
        <v>929</v>
      </c>
      <c r="B13" t="s">
        <v>1334</v>
      </c>
    </row>
    <row r="14" spans="1:2">
      <c r="A14" t="s">
        <v>932</v>
      </c>
      <c r="B14" t="s">
        <v>1334</v>
      </c>
    </row>
    <row r="15" spans="1:2">
      <c r="A15" t="s">
        <v>935</v>
      </c>
      <c r="B15" t="s">
        <v>1334</v>
      </c>
    </row>
    <row r="16" spans="1:2">
      <c r="A16" t="s">
        <v>939</v>
      </c>
      <c r="B16" t="s">
        <v>1334</v>
      </c>
    </row>
    <row r="17" spans="1:2">
      <c r="A17" t="s">
        <v>942</v>
      </c>
      <c r="B17" t="s">
        <v>1334</v>
      </c>
    </row>
    <row r="18" spans="1:2" hidden="1">
      <c r="A18" t="s">
        <v>1335</v>
      </c>
      <c r="B18" t="s">
        <v>1329</v>
      </c>
    </row>
    <row r="19" spans="1:2" hidden="1">
      <c r="A19" t="s">
        <v>1336</v>
      </c>
      <c r="B19" t="s">
        <v>1337</v>
      </c>
    </row>
    <row r="20" spans="1:2" hidden="1">
      <c r="A20" t="s">
        <v>1338</v>
      </c>
      <c r="B20" t="s">
        <v>1333</v>
      </c>
    </row>
    <row r="21" spans="1:2" hidden="1">
      <c r="A21" t="s">
        <v>1339</v>
      </c>
      <c r="B21" t="s">
        <v>1337</v>
      </c>
    </row>
    <row r="22" spans="1:2" hidden="1">
      <c r="A22" t="s">
        <v>1340</v>
      </c>
      <c r="B22" t="s">
        <v>1337</v>
      </c>
    </row>
    <row r="23" spans="1:2" hidden="1">
      <c r="A23" t="s">
        <v>1341</v>
      </c>
      <c r="B23" t="s">
        <v>1337</v>
      </c>
    </row>
    <row r="24" spans="1:2" hidden="1">
      <c r="A24" t="s">
        <v>1342</v>
      </c>
      <c r="B24" t="s">
        <v>1337</v>
      </c>
    </row>
    <row r="25" spans="1:2">
      <c r="A25" t="s">
        <v>948</v>
      </c>
      <c r="B25" t="s">
        <v>1334</v>
      </c>
    </row>
    <row r="26" spans="1:2">
      <c r="A26" t="s">
        <v>968</v>
      </c>
      <c r="B26" t="s">
        <v>1334</v>
      </c>
    </row>
    <row r="27" spans="1:2">
      <c r="A27" t="s">
        <v>971</v>
      </c>
      <c r="B27" t="s">
        <v>1334</v>
      </c>
    </row>
    <row r="28" spans="1:2">
      <c r="A28" t="s">
        <v>977</v>
      </c>
      <c r="B28" t="s">
        <v>1334</v>
      </c>
    </row>
    <row r="29" spans="1:2">
      <c r="A29" t="s">
        <v>990</v>
      </c>
      <c r="B29" t="s">
        <v>1334</v>
      </c>
    </row>
    <row r="30" spans="1:2">
      <c r="A30" t="s">
        <v>1020</v>
      </c>
      <c r="B30" t="s">
        <v>1334</v>
      </c>
    </row>
    <row r="31" spans="1:2">
      <c r="A31" t="s">
        <v>1023</v>
      </c>
      <c r="B31" t="s">
        <v>1334</v>
      </c>
    </row>
    <row r="32" spans="1:2">
      <c r="A32" t="s">
        <v>1029</v>
      </c>
      <c r="B32" t="s">
        <v>1334</v>
      </c>
    </row>
    <row r="33" spans="1:2" hidden="1">
      <c r="A33" t="s">
        <v>1343</v>
      </c>
      <c r="B33" t="s">
        <v>1327</v>
      </c>
    </row>
    <row r="34" spans="1:2" hidden="1">
      <c r="A34" t="s">
        <v>1344</v>
      </c>
      <c r="B34" t="s">
        <v>1327</v>
      </c>
    </row>
    <row r="35" spans="1:2">
      <c r="A35" t="s">
        <v>1032</v>
      </c>
      <c r="B35" t="s">
        <v>1334</v>
      </c>
    </row>
    <row r="36" spans="1:2">
      <c r="A36" t="s">
        <v>1035</v>
      </c>
      <c r="B36" t="s">
        <v>1334</v>
      </c>
    </row>
    <row r="37" spans="1:2">
      <c r="A37" t="s">
        <v>1038</v>
      </c>
      <c r="B37" t="s">
        <v>1334</v>
      </c>
    </row>
    <row r="38" spans="1:2">
      <c r="A38" t="s">
        <v>1041</v>
      </c>
      <c r="B38" t="s">
        <v>1334</v>
      </c>
    </row>
    <row r="39" spans="1:2" hidden="1">
      <c r="A39" t="s">
        <v>1345</v>
      </c>
      <c r="B39" t="s">
        <v>1327</v>
      </c>
    </row>
    <row r="40" spans="1:2">
      <c r="A40" t="s">
        <v>1050</v>
      </c>
      <c r="B40" t="s">
        <v>1334</v>
      </c>
    </row>
    <row r="41" spans="1:2">
      <c r="A41" t="s">
        <v>1056</v>
      </c>
      <c r="B41" t="s">
        <v>1334</v>
      </c>
    </row>
    <row r="42" spans="1:2">
      <c r="A42" t="s">
        <v>1059</v>
      </c>
      <c r="B42" t="s">
        <v>1334</v>
      </c>
    </row>
    <row r="43" spans="1:2">
      <c r="A43" t="s">
        <v>1069</v>
      </c>
      <c r="B43" t="s">
        <v>1334</v>
      </c>
    </row>
    <row r="44" spans="1:2">
      <c r="A44" t="s">
        <v>275</v>
      </c>
      <c r="B44" t="s">
        <v>1334</v>
      </c>
    </row>
    <row r="45" spans="1:2">
      <c r="A45" t="s">
        <v>283</v>
      </c>
      <c r="B45" t="s">
        <v>1334</v>
      </c>
    </row>
    <row r="46" spans="1:2">
      <c r="A46" t="s">
        <v>308</v>
      </c>
      <c r="B46" t="s">
        <v>1334</v>
      </c>
    </row>
    <row r="47" spans="1:2">
      <c r="A47" t="s">
        <v>319</v>
      </c>
      <c r="B47" t="s">
        <v>1334</v>
      </c>
    </row>
    <row r="48" spans="1:2">
      <c r="A48" t="s">
        <v>325</v>
      </c>
      <c r="B48" t="s">
        <v>1334</v>
      </c>
    </row>
    <row r="49" spans="1:2">
      <c r="A49" t="s">
        <v>328</v>
      </c>
      <c r="B49" t="s">
        <v>1334</v>
      </c>
    </row>
    <row r="50" spans="1:2" hidden="1">
      <c r="A50" t="s">
        <v>1346</v>
      </c>
      <c r="B50" t="s">
        <v>1347</v>
      </c>
    </row>
    <row r="51" spans="1:2" hidden="1">
      <c r="A51" t="s">
        <v>1348</v>
      </c>
      <c r="B51" t="s">
        <v>1347</v>
      </c>
    </row>
    <row r="52" spans="1:2" hidden="1">
      <c r="A52" t="s">
        <v>1349</v>
      </c>
      <c r="B52" t="s">
        <v>1327</v>
      </c>
    </row>
    <row r="53" spans="1:2" hidden="1">
      <c r="A53" t="s">
        <v>1350</v>
      </c>
      <c r="B53" t="s">
        <v>1329</v>
      </c>
    </row>
    <row r="54" spans="1:2">
      <c r="A54" t="s">
        <v>336</v>
      </c>
      <c r="B54" t="s">
        <v>1334</v>
      </c>
    </row>
    <row r="55" spans="1:2">
      <c r="A55" t="s">
        <v>341</v>
      </c>
      <c r="B55" t="s">
        <v>1334</v>
      </c>
    </row>
    <row r="56" spans="1:2">
      <c r="A56" t="s">
        <v>370</v>
      </c>
      <c r="B56" t="s">
        <v>1334</v>
      </c>
    </row>
    <row r="57" spans="1:2">
      <c r="A57" t="s">
        <v>389</v>
      </c>
      <c r="B57" t="s">
        <v>1334</v>
      </c>
    </row>
    <row r="58" spans="1:2">
      <c r="A58" t="s">
        <v>395</v>
      </c>
      <c r="B58" t="s">
        <v>1334</v>
      </c>
    </row>
    <row r="59" spans="1:2">
      <c r="A59" t="s">
        <v>400</v>
      </c>
      <c r="B59" t="s">
        <v>1334</v>
      </c>
    </row>
    <row r="60" spans="1:2">
      <c r="A60" t="s">
        <v>409</v>
      </c>
      <c r="B60" t="s">
        <v>1334</v>
      </c>
    </row>
    <row r="61" spans="1:2">
      <c r="A61" t="s">
        <v>413</v>
      </c>
      <c r="B61" t="s">
        <v>1334</v>
      </c>
    </row>
    <row r="62" spans="1:2">
      <c r="A62" t="s">
        <v>418</v>
      </c>
      <c r="B62" t="s">
        <v>1334</v>
      </c>
    </row>
    <row r="63" spans="1:2">
      <c r="A63" t="s">
        <v>422</v>
      </c>
      <c r="B63" t="s">
        <v>1334</v>
      </c>
    </row>
    <row r="64" spans="1:2">
      <c r="A64" t="s">
        <v>429</v>
      </c>
      <c r="B64" t="s">
        <v>1334</v>
      </c>
    </row>
    <row r="65" spans="1:2">
      <c r="A65" t="s">
        <v>444</v>
      </c>
      <c r="B65" t="s">
        <v>1334</v>
      </c>
    </row>
  </sheetData>
  <autoFilter ref="A1:B65" xr:uid="{C62D921C-522E-4EC1-9243-08190253058F}">
    <filterColumn colId="0">
      <customFilters>
        <customFilter val="HNG*"/>
      </customFilters>
    </filterColumn>
    <sortState xmlns:xlrd2="http://schemas.microsoft.com/office/spreadsheetml/2017/richdata2" ref="A2:B65">
      <sortCondition ref="A1:A6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D2A4C11DE825641BD63C1373B1DCFA6" ma:contentTypeVersion="18" ma:contentTypeDescription="Tạo tài liệu mới." ma:contentTypeScope="" ma:versionID="9780ed59e19bb0842c35d72ff92e76ef">
  <xsd:schema xmlns:xsd="http://www.w3.org/2001/XMLSchema" xmlns:xs="http://www.w3.org/2001/XMLSchema" xmlns:p="http://schemas.microsoft.com/office/2006/metadata/properties" xmlns:ns2="a0ba9fa7-5bf5-4390-b087-3c0a46532ba7" xmlns:ns3="87796816-ee84-4612-9d42-257c84b60ab5" targetNamespace="http://schemas.microsoft.com/office/2006/metadata/properties" ma:root="true" ma:fieldsID="81bd26c6cb853c8cd4bce625f2d57aa0" ns2:_="" ns3:_="">
    <xsd:import namespace="a0ba9fa7-5bf5-4390-b087-3c0a46532ba7"/>
    <xsd:import namespace="87796816-ee84-4612-9d42-257c84b6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a9fa7-5bf5-4390-b087-3c0a46532b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Thẻ Hình ảnh" ma:readOnly="false" ma:fieldId="{5cf76f15-5ced-4ddc-b409-7134ff3c332f}" ma:taxonomyMulti="true" ma:sspId="b775d2bf-7987-4aa6-bb22-29e9083b71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96816-ee84-4612-9d42-257c84b60a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08e9c3b-0cc5-4ea4-84e4-cbe672bd6c79}" ma:internalName="TaxCatchAll" ma:showField="CatchAllData" ma:web="87796816-ee84-4612-9d42-257c84b60a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796816-ee84-4612-9d42-257c84b60ab5" xsi:nil="true"/>
    <lcf76f155ced4ddcb4097134ff3c332f xmlns="a0ba9fa7-5bf5-4390-b087-3c0a46532b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8230CA-3709-4142-AC2E-55D1E2CEB32B}"/>
</file>

<file path=customXml/itemProps2.xml><?xml version="1.0" encoding="utf-8"?>
<ds:datastoreItem xmlns:ds="http://schemas.openxmlformats.org/officeDocument/2006/customXml" ds:itemID="{37C776BD-4DAE-476B-9F9F-AAA694108441}"/>
</file>

<file path=customXml/itemProps3.xml><?xml version="1.0" encoding="utf-8"?>
<ds:datastoreItem xmlns:ds="http://schemas.openxmlformats.org/officeDocument/2006/customXml" ds:itemID="{91756F98-8BF1-4E03-87E2-A5B630CC84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2024-10-09T16:50:37Z</dcterms:created>
  <dcterms:modified xsi:type="dcterms:W3CDTF">2025-08-23T18:23:10Z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0x0101003D2A4C11DE825641BD63C1373B1DCFA6</vt:lpwstr>
  </property>
  <property fmtid="{D5CDD505-2E9C-101B-9397-08002B2CF9AE}" pid="3" name="MediaServiceImageTags">
    <vt:lpwstr/>
  </property>
</Properties>
</file>